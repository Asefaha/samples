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ubLibrary\Desktop\"/>
    </mc:Choice>
  </mc:AlternateContent>
  <bookViews>
    <workbookView xWindow="0" yWindow="0" windowWidth="18045" windowHeight="8415" activeTab="1"/>
  </bookViews>
  <sheets>
    <sheet name="Randomization_Info" sheetId="2" r:id="rId1"/>
    <sheet name="CONSORT" sheetId="3" r:id="rId2"/>
  </sheets>
  <definedNames>
    <definedName name="_xlnm._FilterDatabase" localSheetId="0" hidden="1">Randomization_Info!$A$1:$I$180</definedName>
  </definedNames>
  <calcPr calcId="171027"/>
</workbook>
</file>

<file path=xl/calcChain.xml><?xml version="1.0" encoding="utf-8"?>
<calcChain xmlns="http://schemas.openxmlformats.org/spreadsheetml/2006/main">
  <c r="L43" i="3" l="1"/>
  <c r="L42" i="3"/>
  <c r="E42" i="3"/>
  <c r="E43" i="3"/>
  <c r="K43" i="3"/>
  <c r="K42" i="3"/>
  <c r="D42" i="3"/>
  <c r="D43" i="3"/>
  <c r="E33" i="3"/>
  <c r="K8" i="3"/>
  <c r="L34" i="3"/>
  <c r="E34" i="3"/>
  <c r="L33" i="3"/>
  <c r="L26" i="3"/>
  <c r="E26" i="3"/>
  <c r="L25" i="3"/>
  <c r="E25" i="3"/>
  <c r="E18" i="3"/>
  <c r="E17" i="3"/>
  <c r="L18" i="3"/>
  <c r="L17" i="3"/>
  <c r="L16" i="3"/>
  <c r="E16" i="3"/>
  <c r="G13" i="3"/>
  <c r="K7" i="3"/>
  <c r="K6" i="3"/>
  <c r="K5" i="3"/>
  <c r="G3" i="3"/>
</calcChain>
</file>

<file path=xl/comments1.xml><?xml version="1.0" encoding="utf-8"?>
<comments xmlns="http://schemas.openxmlformats.org/spreadsheetml/2006/main">
  <authors>
    <author>Debby</author>
    <author>D'Angelo, Debra</author>
  </authors>
  <commentList>
    <comment ref="B1" authorId="0" shapeId="0">
      <text>
        <r>
          <rPr>
            <b/>
            <sz val="9"/>
            <color indexed="81"/>
            <rFont val="Tahoma"/>
            <family val="2"/>
          </rPr>
          <t>Debby:</t>
        </r>
        <r>
          <rPr>
            <sz val="9"/>
            <color indexed="81"/>
            <rFont val="Tahoma"/>
            <family val="2"/>
          </rPr>
          <t xml:space="preserve">
M=Male
F=Female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Debby:</t>
        </r>
        <r>
          <rPr>
            <sz val="9"/>
            <color indexed="81"/>
            <rFont val="Tahoma"/>
            <family val="2"/>
          </rPr>
          <t xml:space="preserve">
Participant's age in years at the Baseline visit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Debby:</t>
        </r>
        <r>
          <rPr>
            <sz val="9"/>
            <color indexed="81"/>
            <rFont val="Tahoma"/>
            <family val="2"/>
          </rPr>
          <t xml:space="preserve">
Randomization Status
1=Randomized
0=Excluded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Debby:</t>
        </r>
        <r>
          <rPr>
            <sz val="9"/>
            <color indexed="81"/>
            <rFont val="Tahoma"/>
            <family val="2"/>
          </rPr>
          <t xml:space="preserve">
Exclusion Reason
1=Did not meet inclusion criteria
2=Declined to participate
3=Unable to contact
4=Patient became ill after screening
5=Patient died after screening
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Debby:</t>
        </r>
        <r>
          <rPr>
            <sz val="9"/>
            <color indexed="81"/>
            <rFont val="Tahoma"/>
            <family val="2"/>
          </rPr>
          <t xml:space="preserve">
Treatment Arm, if randomized
A=Treatment A (Experimental)
B=Treatment B (Standard of Care)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Debby:</t>
        </r>
        <r>
          <rPr>
            <sz val="9"/>
            <color indexed="81"/>
            <rFont val="Tahoma"/>
            <family val="2"/>
          </rPr>
          <t xml:space="preserve">
For patients randomized to either treatment arm, did the patient receive the allocated treatment?
1=Yes
0=No</t>
        </r>
      </text>
    </comment>
    <comment ref="H1" authorId="0" shapeId="0">
      <text>
        <r>
          <rPr>
            <b/>
            <sz val="9"/>
            <color indexed="81"/>
            <rFont val="Tahoma"/>
            <family val="2"/>
          </rPr>
          <t>Debby:</t>
        </r>
        <r>
          <rPr>
            <sz val="9"/>
            <color indexed="81"/>
            <rFont val="Tahoma"/>
            <family val="2"/>
          </rPr>
          <t xml:space="preserve">
Reason randomized patient was not followed through the entire study
1=Loss to Follow up
2=Discontinued Intervention</t>
        </r>
      </text>
    </comment>
    <comment ref="I1" authorId="1" shapeId="0">
      <text>
        <r>
          <rPr>
            <b/>
            <sz val="9"/>
            <color indexed="81"/>
            <rFont val="Tahoma"/>
            <family val="2"/>
          </rPr>
          <t>D'Angelo, Debra:</t>
        </r>
        <r>
          <rPr>
            <sz val="9"/>
            <color indexed="81"/>
            <rFont val="Tahoma"/>
            <family val="2"/>
          </rPr>
          <t xml:space="preserve">
Was this patient's data included in the analysis?
1=Yes
0=No</t>
        </r>
      </text>
    </comment>
  </commentList>
</comments>
</file>

<file path=xl/sharedStrings.xml><?xml version="1.0" encoding="utf-8"?>
<sst xmlns="http://schemas.openxmlformats.org/spreadsheetml/2006/main" count="674" uniqueCount="36">
  <si>
    <t>Assessed for Eligibility</t>
  </si>
  <si>
    <t>Not Meeting Inclusion Criteria</t>
  </si>
  <si>
    <t>Refused to Participate</t>
  </si>
  <si>
    <t>Other Reasons</t>
  </si>
  <si>
    <t>Randomized</t>
  </si>
  <si>
    <t>Excluded (Not Randomized)</t>
  </si>
  <si>
    <t>Treatment A (Experimental)</t>
  </si>
  <si>
    <t>Treatment B (Standard of Care)</t>
  </si>
  <si>
    <t>Received Allocated Intervention</t>
  </si>
  <si>
    <t>Did not Receive Allocated Intervention</t>
  </si>
  <si>
    <t>PatientID</t>
  </si>
  <si>
    <t>Sex</t>
  </si>
  <si>
    <t>Baseline_Age</t>
  </si>
  <si>
    <t>Excl_Reason</t>
  </si>
  <si>
    <t/>
  </si>
  <si>
    <t>Tx_Arm</t>
  </si>
  <si>
    <t>B</t>
  </si>
  <si>
    <t>A</t>
  </si>
  <si>
    <t>Tx_Received</t>
  </si>
  <si>
    <t>Follow_Up</t>
  </si>
  <si>
    <t>Analyzed</t>
  </si>
  <si>
    <t>Follow-Up</t>
  </si>
  <si>
    <t>Lost to Follow-Up</t>
  </si>
  <si>
    <t>Discontinued Intervention</t>
  </si>
  <si>
    <t>Excluded from Analysis</t>
  </si>
  <si>
    <t>Analysis</t>
  </si>
  <si>
    <t>Males</t>
  </si>
  <si>
    <t>Females</t>
  </si>
  <si>
    <t>N</t>
  </si>
  <si>
    <t>Descriptive Statistics for Analyzed Patients</t>
  </si>
  <si>
    <t>Allocated to Intervention (Total)</t>
  </si>
  <si>
    <t>Mean Age at Baseline (Years)</t>
  </si>
  <si>
    <t>VLOOKUP(A2,Demographics.xlsx!$A:$B,2,FALSE)</t>
  </si>
  <si>
    <t>VLOOKUP(A2,Demographics.xlsx!$A:$C,3,FALSE)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</si>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</sst>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24994659260841701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3" xfId="0" applyBorder="1"/>
    <xf numFmtId="0" fontId="0" fillId="0" borderId="6" xfId="0" applyBorder="1"/>
    <xf numFmtId="0" fontId="0" fillId="0" borderId="6" xfId="0" applyBorder="1" applyAlignment="1"/>
    <xf numFmtId="0" fontId="2" fillId="2" borderId="13" xfId="0" applyFont="1" applyFill="1" applyBorder="1" applyAlignment="1"/>
    <xf numFmtId="0" fontId="0" fillId="0" borderId="4" xfId="0" applyBorder="1" applyAlignment="1"/>
    <xf numFmtId="0" fontId="0" fillId="0" borderId="3" xfId="0" applyBorder="1" applyAlignment="1">
      <alignment horizontal="right"/>
    </xf>
    <xf numFmtId="0" fontId="0" fillId="0" borderId="18" xfId="0" applyBorder="1" applyAlignment="1">
      <alignment horizontal="right"/>
    </xf>
    <xf numFmtId="0" fontId="0" fillId="0" borderId="17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2" xfId="0" applyBorder="1" applyAlignment="1">
      <alignment horizontal="right"/>
    </xf>
    <xf numFmtId="0" fontId="5" fillId="2" borderId="19" xfId="0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164" fontId="1" fillId="0" borderId="8" xfId="0" applyNumberFormat="1" applyFont="1" applyBorder="1" applyAlignment="1">
      <alignment horizontal="right"/>
    </xf>
    <xf numFmtId="49" fontId="0" fillId="0" borderId="0" xfId="0" applyNumberFormat="1"/>
    <xf numFmtId="0" fontId="5" fillId="0" borderId="26" xfId="0" applyFont="1" applyBorder="1" applyAlignment="1">
      <alignment horizontal="center"/>
    </xf>
    <xf numFmtId="0" fontId="0" fillId="0" borderId="28" xfId="0" applyBorder="1" applyAlignment="1">
      <alignment horizontal="right"/>
    </xf>
    <xf numFmtId="0" fontId="5" fillId="0" borderId="27" xfId="0" applyFont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5" xfId="0" applyBorder="1" applyAlignment="1">
      <alignment horizontal="left"/>
    </xf>
    <xf numFmtId="0" fontId="2" fillId="2" borderId="13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0" fillId="0" borderId="4" xfId="0" applyBorder="1" applyAlignment="1">
      <alignment horizontal="right"/>
    </xf>
    <xf numFmtId="0" fontId="0" fillId="0" borderId="17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13</xdr:row>
      <xdr:rowOff>7620</xdr:rowOff>
    </xdr:from>
    <xdr:to>
      <xdr:col>6</xdr:col>
      <xdr:colOff>220980</xdr:colOff>
      <xdr:row>15</xdr:row>
      <xdr:rowOff>121920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CxnSpPr/>
      </xdr:nvCxnSpPr>
      <xdr:spPr>
        <a:xfrm flipH="1">
          <a:off x="4998720" y="2385060"/>
          <a:ext cx="830580" cy="48006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556260</xdr:colOff>
      <xdr:row>13</xdr:row>
      <xdr:rowOff>0</xdr:rowOff>
    </xdr:from>
    <xdr:to>
      <xdr:col>9</xdr:col>
      <xdr:colOff>7620</xdr:colOff>
      <xdr:row>15</xdr:row>
      <xdr:rowOff>137160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CxnSpPr/>
      </xdr:nvCxnSpPr>
      <xdr:spPr>
        <a:xfrm>
          <a:off x="6903720" y="2377440"/>
          <a:ext cx="800100" cy="50292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1341120</xdr:colOff>
      <xdr:row>18</xdr:row>
      <xdr:rowOff>7620</xdr:rowOff>
    </xdr:from>
    <xdr:to>
      <xdr:col>2</xdr:col>
      <xdr:colOff>1348740</xdr:colOff>
      <xdr:row>22</xdr:row>
      <xdr:rowOff>175260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CxnSpPr/>
      </xdr:nvCxnSpPr>
      <xdr:spPr>
        <a:xfrm flipH="1">
          <a:off x="3246120" y="3299460"/>
          <a:ext cx="7620" cy="89916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1524000</xdr:colOff>
      <xdr:row>18</xdr:row>
      <xdr:rowOff>0</xdr:rowOff>
    </xdr:from>
    <xdr:to>
      <xdr:col>9</xdr:col>
      <xdr:colOff>1531620</xdr:colOff>
      <xdr:row>22</xdr:row>
      <xdr:rowOff>167640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CxnSpPr/>
      </xdr:nvCxnSpPr>
      <xdr:spPr>
        <a:xfrm flipH="1">
          <a:off x="9220200" y="3291840"/>
          <a:ext cx="7620" cy="89916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1325880</xdr:colOff>
      <xdr:row>25</xdr:row>
      <xdr:rowOff>167640</xdr:rowOff>
    </xdr:from>
    <xdr:to>
      <xdr:col>2</xdr:col>
      <xdr:colOff>1333500</xdr:colOff>
      <xdr:row>30</xdr:row>
      <xdr:rowOff>152400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CxnSpPr/>
      </xdr:nvCxnSpPr>
      <xdr:spPr>
        <a:xfrm flipH="1">
          <a:off x="3230880" y="4739640"/>
          <a:ext cx="7620" cy="89916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1516380</xdr:colOff>
      <xdr:row>26</xdr:row>
      <xdr:rowOff>0</xdr:rowOff>
    </xdr:from>
    <xdr:to>
      <xdr:col>9</xdr:col>
      <xdr:colOff>1524000</xdr:colOff>
      <xdr:row>30</xdr:row>
      <xdr:rowOff>167640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CxnSpPr/>
      </xdr:nvCxnSpPr>
      <xdr:spPr>
        <a:xfrm flipH="1">
          <a:off x="9212580" y="4754880"/>
          <a:ext cx="7620" cy="89916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80"/>
  <sheetViews>
    <sheetView workbookViewId="0">
      <pane ySplit="1" topLeftCell="A2" activePane="bottomLeft" state="frozen"/>
      <selection pane="bottomLeft" activeCell="G7" sqref="G7"/>
    </sheetView>
  </sheetViews>
  <sheetFormatPr defaultRowHeight="15" x14ac:dyDescent="0.25"/>
  <cols>
    <col min="1" max="1" width="9.28515625" bestFit="1" customWidth="1"/>
    <col min="2" max="2" width="8" style="26" bestFit="1" customWidth="1"/>
    <col min="3" max="3" width="13.140625" bestFit="1" customWidth="1"/>
    <col min="4" max="4" width="12" bestFit="1" customWidth="1"/>
    <col min="5" max="5" width="11.85546875" bestFit="1" customWidth="1"/>
    <col min="6" max="6" width="7.7109375" bestFit="1" customWidth="1"/>
    <col min="7" max="7" width="12.140625" bestFit="1" customWidth="1"/>
    <col min="8" max="8" width="10.42578125" bestFit="1" customWidth="1"/>
    <col min="11" max="11" width="46.5703125" bestFit="1" customWidth="1"/>
    <col min="13" max="13" width="17.7109375" customWidth="1"/>
    <col min="14" max="14" width="15.28515625" customWidth="1"/>
  </cols>
  <sheetData>
    <row r="1" spans="1:14" x14ac:dyDescent="0.25">
      <c r="A1" t="s">
        <v>10</v>
      </c>
      <c r="B1" s="26" t="s">
        <v>11</v>
      </c>
      <c r="C1" t="s">
        <v>12</v>
      </c>
      <c r="D1" t="s">
        <v>4</v>
      </c>
      <c r="E1" t="s">
        <v>13</v>
      </c>
      <c r="F1" t="s">
        <v>15</v>
      </c>
      <c r="G1" t="s">
        <v>18</v>
      </c>
      <c r="H1" t="s">
        <v>19</v>
      </c>
      <c r="I1" t="s">
        <v>20</v>
      </c>
    </row>
    <row r="2" spans="1:14" ht="15.75" thickBot="1" x14ac:dyDescent="0.3">
      <c r="A2">
        <v>101</v>
      </c>
      <c r="B2" s="26" t="s">
        <v>34</v>
      </c>
      <c r="C2">
        <v>52</v>
      </c>
      <c r="D2">
        <v>0</v>
      </c>
      <c r="E2">
        <v>3</v>
      </c>
      <c r="F2" t="s">
        <v>14</v>
      </c>
      <c r="G2" t="s">
        <v>14</v>
      </c>
      <c r="I2" t="s">
        <v>14</v>
      </c>
    </row>
    <row r="3" spans="1:14" x14ac:dyDescent="0.25">
      <c r="A3">
        <v>102</v>
      </c>
      <c r="B3" s="26" t="s">
        <v>35</v>
      </c>
      <c r="C3">
        <v>31</v>
      </c>
      <c r="D3">
        <v>0</v>
      </c>
      <c r="E3">
        <v>1</v>
      </c>
      <c r="F3" t="s">
        <v>14</v>
      </c>
      <c r="G3" t="s">
        <v>14</v>
      </c>
      <c r="I3" t="s">
        <v>14</v>
      </c>
      <c r="K3" s="22" t="s">
        <v>32</v>
      </c>
      <c r="L3" s="23"/>
      <c r="M3" s="23"/>
      <c r="N3" s="24"/>
    </row>
    <row r="4" spans="1:14" ht="15.75" thickBot="1" x14ac:dyDescent="0.3">
      <c r="A4">
        <v>103</v>
      </c>
      <c r="B4" s="26" t="s">
        <v>35</v>
      </c>
      <c r="C4">
        <v>46</v>
      </c>
      <c r="D4">
        <v>0</v>
      </c>
      <c r="E4">
        <v>1</v>
      </c>
      <c r="F4" t="s">
        <v>14</v>
      </c>
      <c r="G4" t="s">
        <v>14</v>
      </c>
      <c r="I4" t="s">
        <v>14</v>
      </c>
      <c r="K4" s="33"/>
      <c r="L4" s="34"/>
      <c r="M4" s="34"/>
      <c r="N4" s="35"/>
    </row>
    <row r="5" spans="1:14" ht="15.75" thickBot="1" x14ac:dyDescent="0.3">
      <c r="A5">
        <v>105</v>
      </c>
      <c r="B5" s="26" t="s">
        <v>34</v>
      </c>
      <c r="C5">
        <v>28</v>
      </c>
      <c r="D5">
        <v>1</v>
      </c>
      <c r="E5" t="s">
        <v>14</v>
      </c>
      <c r="F5" t="s">
        <v>17</v>
      </c>
      <c r="G5">
        <v>1</v>
      </c>
      <c r="I5">
        <v>1</v>
      </c>
    </row>
    <row r="6" spans="1:14" x14ac:dyDescent="0.25">
      <c r="A6">
        <v>106</v>
      </c>
      <c r="B6" s="26" t="s">
        <v>35</v>
      </c>
      <c r="C6">
        <v>38</v>
      </c>
      <c r="D6">
        <v>1</v>
      </c>
      <c r="E6" t="s">
        <v>14</v>
      </c>
      <c r="F6" t="s">
        <v>16</v>
      </c>
      <c r="G6">
        <v>1</v>
      </c>
      <c r="I6">
        <v>1</v>
      </c>
      <c r="K6" s="22" t="s">
        <v>33</v>
      </c>
      <c r="L6" s="23"/>
      <c r="M6" s="23"/>
      <c r="N6" s="24"/>
    </row>
    <row r="7" spans="1:14" ht="15.75" thickBot="1" x14ac:dyDescent="0.3">
      <c r="A7">
        <v>107</v>
      </c>
      <c r="B7" s="26" t="s">
        <v>35</v>
      </c>
      <c r="C7">
        <v>35</v>
      </c>
      <c r="D7">
        <v>0</v>
      </c>
      <c r="E7">
        <v>2</v>
      </c>
      <c r="F7" t="s">
        <v>14</v>
      </c>
      <c r="G7" t="s">
        <v>14</v>
      </c>
      <c r="I7" t="s">
        <v>14</v>
      </c>
      <c r="K7" s="33"/>
      <c r="L7" s="34"/>
      <c r="M7" s="34"/>
      <c r="N7" s="35"/>
    </row>
    <row r="8" spans="1:14" x14ac:dyDescent="0.25">
      <c r="A8">
        <v>108</v>
      </c>
      <c r="B8" s="26" t="s">
        <v>35</v>
      </c>
      <c r="C8">
        <v>27</v>
      </c>
      <c r="D8">
        <v>0</v>
      </c>
      <c r="E8">
        <v>1</v>
      </c>
      <c r="F8" t="s">
        <v>14</v>
      </c>
      <c r="G8" t="s">
        <v>14</v>
      </c>
      <c r="I8" t="s">
        <v>14</v>
      </c>
    </row>
    <row r="9" spans="1:14" x14ac:dyDescent="0.25">
      <c r="A9">
        <v>109</v>
      </c>
      <c r="B9" s="26" t="s">
        <v>34</v>
      </c>
      <c r="C9">
        <v>19</v>
      </c>
      <c r="D9">
        <v>0</v>
      </c>
      <c r="E9">
        <v>1</v>
      </c>
      <c r="F9" t="s">
        <v>14</v>
      </c>
      <c r="G9" t="s">
        <v>14</v>
      </c>
      <c r="I9" t="s">
        <v>14</v>
      </c>
    </row>
    <row r="10" spans="1:14" x14ac:dyDescent="0.25">
      <c r="A10">
        <v>110</v>
      </c>
      <c r="B10" s="26" t="s">
        <v>34</v>
      </c>
      <c r="C10">
        <v>33</v>
      </c>
      <c r="D10">
        <v>1</v>
      </c>
      <c r="E10" t="s">
        <v>14</v>
      </c>
      <c r="F10" t="s">
        <v>16</v>
      </c>
      <c r="G10">
        <v>1</v>
      </c>
      <c r="I10">
        <v>1</v>
      </c>
    </row>
    <row r="11" spans="1:14" x14ac:dyDescent="0.25">
      <c r="A11">
        <v>111</v>
      </c>
      <c r="B11" s="26" t="s">
        <v>35</v>
      </c>
      <c r="C11">
        <v>30</v>
      </c>
      <c r="D11">
        <v>1</v>
      </c>
      <c r="E11" t="s">
        <v>14</v>
      </c>
      <c r="F11" t="s">
        <v>16</v>
      </c>
      <c r="G11">
        <v>1</v>
      </c>
      <c r="I11">
        <v>1</v>
      </c>
    </row>
    <row r="12" spans="1:14" x14ac:dyDescent="0.25">
      <c r="A12">
        <v>113</v>
      </c>
      <c r="B12" s="26" t="s">
        <v>34</v>
      </c>
      <c r="C12">
        <v>35</v>
      </c>
      <c r="D12">
        <v>1</v>
      </c>
      <c r="E12" t="s">
        <v>14</v>
      </c>
      <c r="F12" t="s">
        <v>16</v>
      </c>
      <c r="G12">
        <v>1</v>
      </c>
      <c r="I12">
        <v>1</v>
      </c>
    </row>
    <row r="13" spans="1:14" x14ac:dyDescent="0.25">
      <c r="A13">
        <v>114</v>
      </c>
      <c r="B13" s="26" t="s">
        <v>34</v>
      </c>
      <c r="C13">
        <v>47</v>
      </c>
      <c r="D13">
        <v>0</v>
      </c>
      <c r="E13">
        <v>1</v>
      </c>
      <c r="F13" t="s">
        <v>14</v>
      </c>
      <c r="G13" t="s">
        <v>14</v>
      </c>
      <c r="I13" t="s">
        <v>14</v>
      </c>
    </row>
    <row r="14" spans="1:14" x14ac:dyDescent="0.25">
      <c r="A14">
        <v>115</v>
      </c>
      <c r="B14" s="26" t="s">
        <v>35</v>
      </c>
      <c r="C14">
        <v>52</v>
      </c>
      <c r="D14">
        <v>1</v>
      </c>
      <c r="E14" t="s">
        <v>14</v>
      </c>
      <c r="F14" t="s">
        <v>16</v>
      </c>
      <c r="G14">
        <v>1</v>
      </c>
      <c r="I14">
        <v>1</v>
      </c>
    </row>
    <row r="15" spans="1:14" x14ac:dyDescent="0.25">
      <c r="A15">
        <v>116</v>
      </c>
      <c r="B15" s="26" t="s">
        <v>34</v>
      </c>
      <c r="C15">
        <v>48</v>
      </c>
      <c r="D15">
        <v>0</v>
      </c>
      <c r="E15">
        <v>3</v>
      </c>
      <c r="F15" t="s">
        <v>14</v>
      </c>
      <c r="G15" t="s">
        <v>14</v>
      </c>
      <c r="I15" t="s">
        <v>14</v>
      </c>
    </row>
    <row r="16" spans="1:14" x14ac:dyDescent="0.25">
      <c r="A16">
        <v>117</v>
      </c>
      <c r="B16" s="26" t="s">
        <v>34</v>
      </c>
      <c r="C16">
        <v>52</v>
      </c>
      <c r="D16">
        <v>0</v>
      </c>
      <c r="E16">
        <v>3</v>
      </c>
      <c r="F16" t="s">
        <v>14</v>
      </c>
      <c r="G16" t="s">
        <v>14</v>
      </c>
      <c r="I16" t="s">
        <v>14</v>
      </c>
    </row>
    <row r="17" spans="1:9" x14ac:dyDescent="0.25">
      <c r="A17">
        <v>118</v>
      </c>
      <c r="B17" s="26" t="s">
        <v>35</v>
      </c>
      <c r="C17">
        <v>34</v>
      </c>
      <c r="D17">
        <v>1</v>
      </c>
      <c r="E17" t="s">
        <v>14</v>
      </c>
      <c r="F17" t="s">
        <v>17</v>
      </c>
      <c r="G17">
        <v>1</v>
      </c>
      <c r="I17">
        <v>1</v>
      </c>
    </row>
    <row r="18" spans="1:9" x14ac:dyDescent="0.25">
      <c r="A18">
        <v>120</v>
      </c>
      <c r="B18" s="26" t="s">
        <v>35</v>
      </c>
      <c r="C18">
        <v>22</v>
      </c>
      <c r="D18">
        <v>0</v>
      </c>
      <c r="E18">
        <v>2</v>
      </c>
      <c r="F18" t="s">
        <v>14</v>
      </c>
      <c r="G18" t="s">
        <v>14</v>
      </c>
      <c r="I18" t="s">
        <v>14</v>
      </c>
    </row>
    <row r="19" spans="1:9" x14ac:dyDescent="0.25">
      <c r="A19">
        <v>121</v>
      </c>
      <c r="B19" s="26" t="s">
        <v>35</v>
      </c>
      <c r="C19">
        <v>53</v>
      </c>
      <c r="D19">
        <v>1</v>
      </c>
      <c r="E19" t="s">
        <v>14</v>
      </c>
      <c r="F19" t="s">
        <v>16</v>
      </c>
      <c r="G19">
        <v>0</v>
      </c>
      <c r="I19">
        <v>1</v>
      </c>
    </row>
    <row r="20" spans="1:9" x14ac:dyDescent="0.25">
      <c r="A20">
        <v>122</v>
      </c>
      <c r="B20" s="26" t="s">
        <v>34</v>
      </c>
      <c r="C20">
        <v>34</v>
      </c>
      <c r="D20">
        <v>0</v>
      </c>
      <c r="E20">
        <v>1</v>
      </c>
      <c r="F20" t="s">
        <v>14</v>
      </c>
      <c r="G20" t="s">
        <v>14</v>
      </c>
      <c r="I20" t="s">
        <v>14</v>
      </c>
    </row>
    <row r="21" spans="1:9" x14ac:dyDescent="0.25">
      <c r="A21">
        <v>123</v>
      </c>
      <c r="B21" s="26" t="s">
        <v>34</v>
      </c>
      <c r="C21">
        <v>36</v>
      </c>
      <c r="D21">
        <v>0</v>
      </c>
      <c r="E21">
        <v>1</v>
      </c>
      <c r="F21" t="s">
        <v>14</v>
      </c>
      <c r="G21" t="s">
        <v>14</v>
      </c>
      <c r="I21" t="s">
        <v>14</v>
      </c>
    </row>
    <row r="22" spans="1:9" x14ac:dyDescent="0.25">
      <c r="A22">
        <v>124</v>
      </c>
      <c r="B22" s="26" t="s">
        <v>35</v>
      </c>
      <c r="C22">
        <v>53</v>
      </c>
      <c r="D22">
        <v>0</v>
      </c>
      <c r="E22">
        <v>2</v>
      </c>
      <c r="F22" t="s">
        <v>14</v>
      </c>
      <c r="G22" t="s">
        <v>14</v>
      </c>
      <c r="I22" t="s">
        <v>14</v>
      </c>
    </row>
    <row r="23" spans="1:9" x14ac:dyDescent="0.25">
      <c r="A23">
        <v>125</v>
      </c>
      <c r="B23" s="26" t="s">
        <v>34</v>
      </c>
      <c r="C23">
        <v>37</v>
      </c>
      <c r="D23">
        <v>1</v>
      </c>
      <c r="E23" t="s">
        <v>14</v>
      </c>
      <c r="F23" t="s">
        <v>16</v>
      </c>
      <c r="G23">
        <v>1</v>
      </c>
      <c r="I23">
        <v>1</v>
      </c>
    </row>
    <row r="24" spans="1:9" x14ac:dyDescent="0.25">
      <c r="A24">
        <v>126</v>
      </c>
      <c r="B24" s="26" t="s">
        <v>34</v>
      </c>
      <c r="C24">
        <v>44</v>
      </c>
      <c r="D24">
        <v>0</v>
      </c>
      <c r="E24">
        <v>3</v>
      </c>
      <c r="F24" t="s">
        <v>14</v>
      </c>
      <c r="G24" t="s">
        <v>14</v>
      </c>
      <c r="I24" t="s">
        <v>14</v>
      </c>
    </row>
    <row r="25" spans="1:9" x14ac:dyDescent="0.25">
      <c r="A25">
        <v>127</v>
      </c>
      <c r="B25" s="26" t="s">
        <v>35</v>
      </c>
      <c r="C25">
        <v>45</v>
      </c>
      <c r="D25">
        <v>0</v>
      </c>
      <c r="E25">
        <v>1</v>
      </c>
      <c r="F25" t="s">
        <v>14</v>
      </c>
      <c r="G25" t="s">
        <v>14</v>
      </c>
      <c r="I25" t="s">
        <v>14</v>
      </c>
    </row>
    <row r="26" spans="1:9" x14ac:dyDescent="0.25">
      <c r="A26">
        <v>128</v>
      </c>
      <c r="B26" s="26" t="s">
        <v>35</v>
      </c>
      <c r="C26">
        <v>46</v>
      </c>
      <c r="D26">
        <v>1</v>
      </c>
      <c r="E26" t="s">
        <v>14</v>
      </c>
      <c r="F26" t="s">
        <v>17</v>
      </c>
      <c r="G26">
        <v>1</v>
      </c>
      <c r="I26">
        <v>1</v>
      </c>
    </row>
    <row r="27" spans="1:9" x14ac:dyDescent="0.25">
      <c r="A27">
        <v>129</v>
      </c>
      <c r="B27" s="26" t="s">
        <v>35</v>
      </c>
      <c r="C27">
        <v>47</v>
      </c>
      <c r="D27">
        <v>1</v>
      </c>
      <c r="E27" t="s">
        <v>14</v>
      </c>
      <c r="F27" t="s">
        <v>17</v>
      </c>
      <c r="G27">
        <v>1</v>
      </c>
      <c r="I27">
        <v>1</v>
      </c>
    </row>
    <row r="28" spans="1:9" x14ac:dyDescent="0.25">
      <c r="A28">
        <v>130</v>
      </c>
      <c r="B28" s="26" t="s">
        <v>35</v>
      </c>
      <c r="C28">
        <v>40</v>
      </c>
      <c r="D28">
        <v>0</v>
      </c>
      <c r="E28">
        <v>1</v>
      </c>
      <c r="F28" t="s">
        <v>14</v>
      </c>
      <c r="G28" t="s">
        <v>14</v>
      </c>
      <c r="I28" t="s">
        <v>14</v>
      </c>
    </row>
    <row r="29" spans="1:9" x14ac:dyDescent="0.25">
      <c r="A29">
        <v>131</v>
      </c>
      <c r="B29" s="26" t="s">
        <v>34</v>
      </c>
      <c r="C29">
        <v>41</v>
      </c>
      <c r="D29">
        <v>0</v>
      </c>
      <c r="E29">
        <v>1</v>
      </c>
      <c r="F29" t="s">
        <v>14</v>
      </c>
      <c r="G29" t="s">
        <v>14</v>
      </c>
      <c r="I29" t="s">
        <v>14</v>
      </c>
    </row>
    <row r="30" spans="1:9" x14ac:dyDescent="0.25">
      <c r="A30">
        <v>132</v>
      </c>
      <c r="B30" s="26" t="s">
        <v>35</v>
      </c>
      <c r="C30">
        <v>20</v>
      </c>
      <c r="D30">
        <v>0</v>
      </c>
      <c r="E30">
        <v>1</v>
      </c>
      <c r="F30" t="s">
        <v>14</v>
      </c>
      <c r="G30" t="s">
        <v>14</v>
      </c>
      <c r="I30" t="s">
        <v>14</v>
      </c>
    </row>
    <row r="31" spans="1:9" x14ac:dyDescent="0.25">
      <c r="A31">
        <v>134</v>
      </c>
      <c r="B31" s="26" t="s">
        <v>34</v>
      </c>
      <c r="C31">
        <v>37</v>
      </c>
      <c r="D31">
        <v>1</v>
      </c>
      <c r="E31" t="s">
        <v>14</v>
      </c>
      <c r="F31" t="s">
        <v>17</v>
      </c>
      <c r="G31">
        <v>1</v>
      </c>
      <c r="I31">
        <v>1</v>
      </c>
    </row>
    <row r="32" spans="1:9" x14ac:dyDescent="0.25">
      <c r="A32">
        <v>135</v>
      </c>
      <c r="B32" s="26" t="s">
        <v>35</v>
      </c>
      <c r="C32">
        <v>25</v>
      </c>
      <c r="D32">
        <v>1</v>
      </c>
      <c r="E32" t="s">
        <v>14</v>
      </c>
      <c r="F32" t="s">
        <v>17</v>
      </c>
      <c r="G32">
        <v>1</v>
      </c>
      <c r="I32">
        <v>1</v>
      </c>
    </row>
    <row r="33" spans="1:9" x14ac:dyDescent="0.25">
      <c r="A33">
        <v>136</v>
      </c>
      <c r="B33" s="26" t="s">
        <v>35</v>
      </c>
      <c r="C33">
        <v>40</v>
      </c>
      <c r="D33">
        <v>1</v>
      </c>
      <c r="E33" t="s">
        <v>14</v>
      </c>
      <c r="F33" t="s">
        <v>16</v>
      </c>
      <c r="G33">
        <v>1</v>
      </c>
      <c r="I33">
        <v>1</v>
      </c>
    </row>
    <row r="34" spans="1:9" x14ac:dyDescent="0.25">
      <c r="A34">
        <v>137</v>
      </c>
      <c r="B34" s="26" t="s">
        <v>34</v>
      </c>
      <c r="C34">
        <v>26</v>
      </c>
      <c r="D34">
        <v>0</v>
      </c>
      <c r="E34">
        <v>3</v>
      </c>
      <c r="F34" t="s">
        <v>14</v>
      </c>
      <c r="G34" t="s">
        <v>14</v>
      </c>
      <c r="I34" t="s">
        <v>14</v>
      </c>
    </row>
    <row r="35" spans="1:9" x14ac:dyDescent="0.25">
      <c r="A35">
        <v>138</v>
      </c>
      <c r="B35" s="26" t="s">
        <v>34</v>
      </c>
      <c r="C35">
        <v>18</v>
      </c>
      <c r="D35">
        <v>0</v>
      </c>
      <c r="E35">
        <v>2</v>
      </c>
      <c r="F35" t="s">
        <v>14</v>
      </c>
      <c r="G35" t="s">
        <v>14</v>
      </c>
      <c r="I35" t="s">
        <v>14</v>
      </c>
    </row>
    <row r="36" spans="1:9" x14ac:dyDescent="0.25">
      <c r="A36">
        <v>139</v>
      </c>
      <c r="B36" s="26" t="s">
        <v>34</v>
      </c>
      <c r="C36">
        <v>47</v>
      </c>
      <c r="D36">
        <v>1</v>
      </c>
      <c r="E36" t="s">
        <v>14</v>
      </c>
      <c r="F36" t="s">
        <v>16</v>
      </c>
      <c r="G36">
        <v>1</v>
      </c>
      <c r="H36">
        <v>2</v>
      </c>
      <c r="I36">
        <v>1</v>
      </c>
    </row>
    <row r="37" spans="1:9" x14ac:dyDescent="0.25">
      <c r="A37">
        <v>140</v>
      </c>
      <c r="B37" s="26" t="s">
        <v>35</v>
      </c>
      <c r="C37">
        <v>54</v>
      </c>
      <c r="D37">
        <v>0</v>
      </c>
      <c r="E37">
        <v>1</v>
      </c>
      <c r="F37" t="s">
        <v>14</v>
      </c>
      <c r="G37" t="s">
        <v>14</v>
      </c>
      <c r="I37" t="s">
        <v>14</v>
      </c>
    </row>
    <row r="38" spans="1:9" x14ac:dyDescent="0.25">
      <c r="A38">
        <v>141</v>
      </c>
      <c r="B38" s="26" t="s">
        <v>34</v>
      </c>
      <c r="C38">
        <v>48</v>
      </c>
      <c r="D38">
        <v>0</v>
      </c>
      <c r="E38">
        <v>2</v>
      </c>
      <c r="F38" t="s">
        <v>14</v>
      </c>
      <c r="G38" t="s">
        <v>14</v>
      </c>
      <c r="I38" t="s">
        <v>14</v>
      </c>
    </row>
    <row r="39" spans="1:9" x14ac:dyDescent="0.25">
      <c r="A39">
        <v>142</v>
      </c>
      <c r="B39" s="26" t="s">
        <v>34</v>
      </c>
      <c r="C39">
        <v>38</v>
      </c>
      <c r="D39">
        <v>0</v>
      </c>
      <c r="E39">
        <v>2</v>
      </c>
      <c r="F39" t="s">
        <v>14</v>
      </c>
      <c r="G39" t="s">
        <v>14</v>
      </c>
      <c r="I39" t="s">
        <v>14</v>
      </c>
    </row>
    <row r="40" spans="1:9" x14ac:dyDescent="0.25">
      <c r="A40">
        <v>143</v>
      </c>
      <c r="B40" s="26" t="s">
        <v>35</v>
      </c>
      <c r="C40">
        <v>23</v>
      </c>
      <c r="D40">
        <v>0</v>
      </c>
      <c r="E40">
        <v>2</v>
      </c>
      <c r="F40" t="s">
        <v>14</v>
      </c>
      <c r="G40" t="s">
        <v>14</v>
      </c>
      <c r="I40" t="s">
        <v>14</v>
      </c>
    </row>
    <row r="41" spans="1:9" x14ac:dyDescent="0.25">
      <c r="A41">
        <v>144</v>
      </c>
      <c r="B41" s="26" t="s">
        <v>35</v>
      </c>
      <c r="C41">
        <v>45</v>
      </c>
      <c r="D41">
        <v>1</v>
      </c>
      <c r="E41" t="s">
        <v>14</v>
      </c>
      <c r="F41" t="s">
        <v>16</v>
      </c>
      <c r="G41">
        <v>1</v>
      </c>
      <c r="I41">
        <v>0</v>
      </c>
    </row>
    <row r="42" spans="1:9" x14ac:dyDescent="0.25">
      <c r="A42">
        <v>145</v>
      </c>
      <c r="B42" s="26" t="s">
        <v>35</v>
      </c>
      <c r="C42">
        <v>44</v>
      </c>
      <c r="D42">
        <v>1</v>
      </c>
      <c r="E42" t="s">
        <v>14</v>
      </c>
      <c r="F42" t="s">
        <v>17</v>
      </c>
      <c r="G42">
        <v>1</v>
      </c>
      <c r="I42">
        <v>1</v>
      </c>
    </row>
    <row r="43" spans="1:9" x14ac:dyDescent="0.25">
      <c r="A43">
        <v>146</v>
      </c>
      <c r="B43" s="26" t="s">
        <v>34</v>
      </c>
      <c r="C43">
        <v>33</v>
      </c>
      <c r="D43">
        <v>1</v>
      </c>
      <c r="E43" t="s">
        <v>14</v>
      </c>
      <c r="F43" t="s">
        <v>17</v>
      </c>
      <c r="G43">
        <v>1</v>
      </c>
      <c r="H43">
        <v>1</v>
      </c>
      <c r="I43">
        <v>1</v>
      </c>
    </row>
    <row r="44" spans="1:9" x14ac:dyDescent="0.25">
      <c r="A44">
        <v>148</v>
      </c>
      <c r="B44" s="26" t="s">
        <v>34</v>
      </c>
      <c r="C44">
        <v>23</v>
      </c>
      <c r="D44">
        <v>0</v>
      </c>
      <c r="E44">
        <v>1</v>
      </c>
      <c r="F44" t="s">
        <v>14</v>
      </c>
      <c r="G44" t="s">
        <v>14</v>
      </c>
      <c r="I44" t="s">
        <v>14</v>
      </c>
    </row>
    <row r="45" spans="1:9" x14ac:dyDescent="0.25">
      <c r="A45">
        <v>149</v>
      </c>
      <c r="B45" s="26" t="s">
        <v>35</v>
      </c>
      <c r="C45">
        <v>18</v>
      </c>
      <c r="D45">
        <v>0</v>
      </c>
      <c r="E45">
        <v>3</v>
      </c>
      <c r="F45" t="s">
        <v>14</v>
      </c>
      <c r="G45" t="s">
        <v>14</v>
      </c>
      <c r="I45" t="s">
        <v>14</v>
      </c>
    </row>
    <row r="46" spans="1:9" x14ac:dyDescent="0.25">
      <c r="A46">
        <v>150</v>
      </c>
      <c r="B46" s="26" t="s">
        <v>34</v>
      </c>
      <c r="C46">
        <v>33</v>
      </c>
      <c r="D46">
        <v>0</v>
      </c>
      <c r="E46">
        <v>1</v>
      </c>
      <c r="F46" t="s">
        <v>14</v>
      </c>
      <c r="G46" t="s">
        <v>14</v>
      </c>
      <c r="I46" t="s">
        <v>14</v>
      </c>
    </row>
    <row r="47" spans="1:9" x14ac:dyDescent="0.25">
      <c r="A47">
        <v>151</v>
      </c>
      <c r="B47" s="26" t="s">
        <v>35</v>
      </c>
      <c r="C47">
        <v>32</v>
      </c>
      <c r="D47">
        <v>0</v>
      </c>
      <c r="E47">
        <v>1</v>
      </c>
      <c r="F47" t="s">
        <v>14</v>
      </c>
      <c r="G47" t="s">
        <v>14</v>
      </c>
      <c r="I47" t="s">
        <v>14</v>
      </c>
    </row>
    <row r="48" spans="1:9" x14ac:dyDescent="0.25">
      <c r="A48">
        <v>152</v>
      </c>
      <c r="B48" s="26" t="s">
        <v>34</v>
      </c>
      <c r="C48">
        <v>28</v>
      </c>
      <c r="D48">
        <v>1</v>
      </c>
      <c r="E48" t="s">
        <v>14</v>
      </c>
      <c r="F48" t="s">
        <v>16</v>
      </c>
      <c r="G48">
        <v>1</v>
      </c>
      <c r="I48">
        <v>1</v>
      </c>
    </row>
    <row r="49" spans="1:9" x14ac:dyDescent="0.25">
      <c r="A49">
        <v>153</v>
      </c>
      <c r="B49" s="26" t="s">
        <v>34</v>
      </c>
      <c r="C49">
        <v>23</v>
      </c>
      <c r="D49">
        <v>0</v>
      </c>
      <c r="E49">
        <v>1</v>
      </c>
      <c r="F49" t="s">
        <v>14</v>
      </c>
      <c r="G49" t="s">
        <v>14</v>
      </c>
      <c r="I49" t="s">
        <v>14</v>
      </c>
    </row>
    <row r="50" spans="1:9" x14ac:dyDescent="0.25">
      <c r="A50">
        <v>154</v>
      </c>
      <c r="B50" s="26" t="s">
        <v>35</v>
      </c>
      <c r="C50">
        <v>52</v>
      </c>
      <c r="D50">
        <v>0</v>
      </c>
      <c r="E50">
        <v>2</v>
      </c>
      <c r="F50" t="s">
        <v>14</v>
      </c>
      <c r="G50" t="s">
        <v>14</v>
      </c>
      <c r="I50" t="s">
        <v>14</v>
      </c>
    </row>
    <row r="51" spans="1:9" x14ac:dyDescent="0.25">
      <c r="A51">
        <v>155</v>
      </c>
      <c r="B51" s="26" t="s">
        <v>34</v>
      </c>
      <c r="C51">
        <v>29</v>
      </c>
      <c r="D51">
        <v>0</v>
      </c>
      <c r="E51">
        <v>3</v>
      </c>
      <c r="F51" t="s">
        <v>14</v>
      </c>
      <c r="G51" t="s">
        <v>14</v>
      </c>
      <c r="I51" t="s">
        <v>14</v>
      </c>
    </row>
    <row r="52" spans="1:9" x14ac:dyDescent="0.25">
      <c r="A52">
        <v>156</v>
      </c>
      <c r="B52" s="26" t="s">
        <v>34</v>
      </c>
      <c r="C52">
        <v>29</v>
      </c>
      <c r="D52">
        <v>1</v>
      </c>
      <c r="E52" t="s">
        <v>14</v>
      </c>
      <c r="F52" t="s">
        <v>17</v>
      </c>
      <c r="G52">
        <v>1</v>
      </c>
      <c r="I52">
        <v>1</v>
      </c>
    </row>
    <row r="53" spans="1:9" x14ac:dyDescent="0.25">
      <c r="A53">
        <v>157</v>
      </c>
      <c r="B53" s="26" t="s">
        <v>34</v>
      </c>
      <c r="C53">
        <v>35</v>
      </c>
      <c r="D53">
        <v>1</v>
      </c>
      <c r="E53" t="s">
        <v>14</v>
      </c>
      <c r="F53" t="s">
        <v>16</v>
      </c>
      <c r="G53">
        <v>1</v>
      </c>
      <c r="I53">
        <v>1</v>
      </c>
    </row>
    <row r="54" spans="1:9" x14ac:dyDescent="0.25">
      <c r="A54">
        <v>158</v>
      </c>
      <c r="B54" s="26" t="s">
        <v>35</v>
      </c>
      <c r="C54">
        <v>33</v>
      </c>
      <c r="D54">
        <v>1</v>
      </c>
      <c r="E54" t="s">
        <v>14</v>
      </c>
      <c r="F54" t="s">
        <v>16</v>
      </c>
      <c r="G54">
        <v>1</v>
      </c>
      <c r="I54">
        <v>1</v>
      </c>
    </row>
    <row r="55" spans="1:9" x14ac:dyDescent="0.25">
      <c r="A55">
        <v>159</v>
      </c>
      <c r="B55" s="26" t="s">
        <v>34</v>
      </c>
      <c r="C55">
        <v>29</v>
      </c>
      <c r="D55">
        <v>0</v>
      </c>
      <c r="E55">
        <v>3</v>
      </c>
      <c r="F55" t="s">
        <v>14</v>
      </c>
      <c r="G55" t="s">
        <v>14</v>
      </c>
      <c r="I55" t="s">
        <v>14</v>
      </c>
    </row>
    <row r="56" spans="1:9" x14ac:dyDescent="0.25">
      <c r="A56">
        <v>160</v>
      </c>
      <c r="B56" s="26" t="s">
        <v>35</v>
      </c>
      <c r="C56">
        <v>54</v>
      </c>
      <c r="D56">
        <v>1</v>
      </c>
      <c r="E56" t="s">
        <v>14</v>
      </c>
      <c r="F56" t="s">
        <v>17</v>
      </c>
      <c r="G56">
        <v>1</v>
      </c>
      <c r="I56">
        <v>1</v>
      </c>
    </row>
    <row r="57" spans="1:9" x14ac:dyDescent="0.25">
      <c r="A57">
        <v>161</v>
      </c>
      <c r="B57" s="26" t="s">
        <v>35</v>
      </c>
      <c r="C57">
        <v>54</v>
      </c>
      <c r="D57">
        <v>1</v>
      </c>
      <c r="E57" t="s">
        <v>14</v>
      </c>
      <c r="F57" t="s">
        <v>17</v>
      </c>
      <c r="G57">
        <v>1</v>
      </c>
      <c r="I57">
        <v>1</v>
      </c>
    </row>
    <row r="58" spans="1:9" x14ac:dyDescent="0.25">
      <c r="A58">
        <v>162</v>
      </c>
      <c r="B58" s="26" t="s">
        <v>34</v>
      </c>
      <c r="C58">
        <v>46</v>
      </c>
      <c r="D58">
        <v>0</v>
      </c>
      <c r="E58">
        <v>2</v>
      </c>
      <c r="F58" t="s">
        <v>14</v>
      </c>
      <c r="G58" t="s">
        <v>14</v>
      </c>
      <c r="I58" t="s">
        <v>14</v>
      </c>
    </row>
    <row r="59" spans="1:9" x14ac:dyDescent="0.25">
      <c r="A59">
        <v>163</v>
      </c>
      <c r="B59" s="26" t="s">
        <v>34</v>
      </c>
      <c r="C59">
        <v>28</v>
      </c>
      <c r="D59">
        <v>0</v>
      </c>
      <c r="E59">
        <v>3</v>
      </c>
      <c r="F59" t="s">
        <v>14</v>
      </c>
      <c r="G59" t="s">
        <v>14</v>
      </c>
      <c r="I59" t="s">
        <v>14</v>
      </c>
    </row>
    <row r="60" spans="1:9" x14ac:dyDescent="0.25">
      <c r="A60">
        <v>164</v>
      </c>
      <c r="B60" s="26" t="s">
        <v>34</v>
      </c>
      <c r="C60">
        <v>54</v>
      </c>
      <c r="D60">
        <v>0</v>
      </c>
      <c r="E60">
        <v>3</v>
      </c>
      <c r="F60" t="s">
        <v>14</v>
      </c>
      <c r="G60" t="s">
        <v>14</v>
      </c>
      <c r="I60" t="s">
        <v>14</v>
      </c>
    </row>
    <row r="61" spans="1:9" x14ac:dyDescent="0.25">
      <c r="A61">
        <v>165</v>
      </c>
      <c r="B61" s="26" t="s">
        <v>35</v>
      </c>
      <c r="C61">
        <v>51</v>
      </c>
      <c r="D61">
        <v>0</v>
      </c>
      <c r="E61">
        <v>1</v>
      </c>
      <c r="F61" t="s">
        <v>14</v>
      </c>
      <c r="G61" t="s">
        <v>14</v>
      </c>
      <c r="I61" t="s">
        <v>14</v>
      </c>
    </row>
    <row r="62" spans="1:9" x14ac:dyDescent="0.25">
      <c r="A62">
        <v>166</v>
      </c>
      <c r="B62" s="26" t="s">
        <v>35</v>
      </c>
      <c r="C62">
        <v>30</v>
      </c>
      <c r="D62">
        <v>1</v>
      </c>
      <c r="E62" t="s">
        <v>14</v>
      </c>
      <c r="F62" t="s">
        <v>16</v>
      </c>
      <c r="G62">
        <v>1</v>
      </c>
      <c r="I62">
        <v>1</v>
      </c>
    </row>
    <row r="63" spans="1:9" x14ac:dyDescent="0.25">
      <c r="A63">
        <v>167</v>
      </c>
      <c r="B63" s="26" t="s">
        <v>35</v>
      </c>
      <c r="C63">
        <v>41</v>
      </c>
      <c r="D63">
        <v>1</v>
      </c>
      <c r="E63" t="s">
        <v>14</v>
      </c>
      <c r="F63" t="s">
        <v>17</v>
      </c>
      <c r="G63">
        <v>1</v>
      </c>
      <c r="I63">
        <v>1</v>
      </c>
    </row>
    <row r="64" spans="1:9" x14ac:dyDescent="0.25">
      <c r="A64">
        <v>168</v>
      </c>
      <c r="B64" s="26" t="s">
        <v>35</v>
      </c>
      <c r="C64">
        <v>32</v>
      </c>
      <c r="D64">
        <v>1</v>
      </c>
      <c r="E64" t="s">
        <v>14</v>
      </c>
      <c r="F64" t="s">
        <v>16</v>
      </c>
      <c r="G64">
        <v>1</v>
      </c>
      <c r="I64">
        <v>1</v>
      </c>
    </row>
    <row r="65" spans="1:9" x14ac:dyDescent="0.25">
      <c r="A65">
        <v>169</v>
      </c>
      <c r="B65" s="26" t="s">
        <v>35</v>
      </c>
      <c r="C65">
        <v>33</v>
      </c>
      <c r="D65">
        <v>0</v>
      </c>
      <c r="E65">
        <v>3</v>
      </c>
      <c r="F65" t="s">
        <v>14</v>
      </c>
      <c r="G65" t="s">
        <v>14</v>
      </c>
      <c r="I65" t="s">
        <v>14</v>
      </c>
    </row>
    <row r="66" spans="1:9" x14ac:dyDescent="0.25">
      <c r="A66">
        <v>170</v>
      </c>
      <c r="B66" s="26" t="s">
        <v>35</v>
      </c>
      <c r="C66">
        <v>54</v>
      </c>
      <c r="D66">
        <v>1</v>
      </c>
      <c r="E66" t="s">
        <v>14</v>
      </c>
      <c r="F66" t="s">
        <v>17</v>
      </c>
      <c r="G66">
        <v>1</v>
      </c>
      <c r="I66">
        <v>1</v>
      </c>
    </row>
    <row r="67" spans="1:9" x14ac:dyDescent="0.25">
      <c r="A67">
        <v>171</v>
      </c>
      <c r="B67" s="26" t="s">
        <v>34</v>
      </c>
      <c r="C67">
        <v>40</v>
      </c>
      <c r="D67">
        <v>1</v>
      </c>
      <c r="E67" t="s">
        <v>14</v>
      </c>
      <c r="F67" t="s">
        <v>17</v>
      </c>
      <c r="G67">
        <v>1</v>
      </c>
      <c r="I67">
        <v>1</v>
      </c>
    </row>
    <row r="68" spans="1:9" x14ac:dyDescent="0.25">
      <c r="A68">
        <v>172</v>
      </c>
      <c r="B68" s="26" t="s">
        <v>34</v>
      </c>
      <c r="C68">
        <v>55</v>
      </c>
      <c r="D68">
        <v>1</v>
      </c>
      <c r="E68" t="s">
        <v>14</v>
      </c>
      <c r="F68" t="s">
        <v>17</v>
      </c>
      <c r="G68">
        <v>1</v>
      </c>
      <c r="I68">
        <v>1</v>
      </c>
    </row>
    <row r="69" spans="1:9" x14ac:dyDescent="0.25">
      <c r="A69">
        <v>173</v>
      </c>
      <c r="B69" s="26" t="s">
        <v>35</v>
      </c>
      <c r="C69">
        <v>43</v>
      </c>
      <c r="D69">
        <v>0</v>
      </c>
      <c r="E69">
        <v>1</v>
      </c>
      <c r="F69" t="s">
        <v>14</v>
      </c>
      <c r="G69" t="s">
        <v>14</v>
      </c>
      <c r="I69" t="s">
        <v>14</v>
      </c>
    </row>
    <row r="70" spans="1:9" x14ac:dyDescent="0.25">
      <c r="A70">
        <v>174</v>
      </c>
      <c r="B70" s="26" t="s">
        <v>34</v>
      </c>
      <c r="C70">
        <v>49</v>
      </c>
      <c r="D70">
        <v>1</v>
      </c>
      <c r="E70" t="s">
        <v>14</v>
      </c>
      <c r="F70" t="s">
        <v>16</v>
      </c>
      <c r="G70">
        <v>1</v>
      </c>
      <c r="I70">
        <v>1</v>
      </c>
    </row>
    <row r="71" spans="1:9" x14ac:dyDescent="0.25">
      <c r="A71">
        <v>175</v>
      </c>
      <c r="B71" s="26" t="s">
        <v>35</v>
      </c>
      <c r="C71">
        <v>33</v>
      </c>
      <c r="D71">
        <v>1</v>
      </c>
      <c r="E71" t="s">
        <v>14</v>
      </c>
      <c r="F71" t="s">
        <v>16</v>
      </c>
      <c r="G71">
        <v>1</v>
      </c>
      <c r="I71">
        <v>1</v>
      </c>
    </row>
    <row r="72" spans="1:9" x14ac:dyDescent="0.25">
      <c r="A72">
        <v>176</v>
      </c>
      <c r="B72" s="26" t="s">
        <v>35</v>
      </c>
      <c r="C72">
        <v>23</v>
      </c>
      <c r="D72">
        <v>1</v>
      </c>
      <c r="E72" t="s">
        <v>14</v>
      </c>
      <c r="F72" t="s">
        <v>17</v>
      </c>
      <c r="G72">
        <v>1</v>
      </c>
      <c r="H72">
        <v>2</v>
      </c>
      <c r="I72">
        <v>1</v>
      </c>
    </row>
    <row r="73" spans="1:9" x14ac:dyDescent="0.25">
      <c r="A73">
        <v>177</v>
      </c>
      <c r="B73" s="26" t="s">
        <v>34</v>
      </c>
      <c r="C73">
        <v>34</v>
      </c>
      <c r="D73">
        <v>1</v>
      </c>
      <c r="E73" t="s">
        <v>14</v>
      </c>
      <c r="F73" t="s">
        <v>16</v>
      </c>
      <c r="G73">
        <v>1</v>
      </c>
      <c r="I73">
        <v>1</v>
      </c>
    </row>
    <row r="74" spans="1:9" x14ac:dyDescent="0.25">
      <c r="A74">
        <v>178</v>
      </c>
      <c r="B74" s="26" t="s">
        <v>35</v>
      </c>
      <c r="C74">
        <v>24</v>
      </c>
      <c r="D74">
        <v>0</v>
      </c>
      <c r="E74">
        <v>2</v>
      </c>
      <c r="F74" t="s">
        <v>14</v>
      </c>
      <c r="G74" t="s">
        <v>14</v>
      </c>
      <c r="I74" t="s">
        <v>14</v>
      </c>
    </row>
    <row r="75" spans="1:9" x14ac:dyDescent="0.25">
      <c r="A75">
        <v>179</v>
      </c>
      <c r="B75" s="26" t="s">
        <v>34</v>
      </c>
      <c r="C75">
        <v>20</v>
      </c>
      <c r="D75">
        <v>0</v>
      </c>
      <c r="E75">
        <v>1</v>
      </c>
      <c r="F75" t="s">
        <v>14</v>
      </c>
      <c r="G75" t="s">
        <v>14</v>
      </c>
      <c r="I75" t="s">
        <v>14</v>
      </c>
    </row>
    <row r="76" spans="1:9" x14ac:dyDescent="0.25">
      <c r="A76">
        <v>180</v>
      </c>
      <c r="B76" s="26" t="s">
        <v>35</v>
      </c>
      <c r="C76">
        <v>22</v>
      </c>
      <c r="D76">
        <v>0</v>
      </c>
      <c r="E76">
        <v>3</v>
      </c>
      <c r="F76" t="s">
        <v>14</v>
      </c>
      <c r="G76" t="s">
        <v>14</v>
      </c>
      <c r="I76" t="s">
        <v>14</v>
      </c>
    </row>
    <row r="77" spans="1:9" x14ac:dyDescent="0.25">
      <c r="A77">
        <v>181</v>
      </c>
      <c r="B77" s="26" t="s">
        <v>35</v>
      </c>
      <c r="C77">
        <v>55</v>
      </c>
      <c r="D77">
        <v>0</v>
      </c>
      <c r="E77">
        <v>3</v>
      </c>
      <c r="F77" t="s">
        <v>14</v>
      </c>
      <c r="G77" t="s">
        <v>14</v>
      </c>
      <c r="I77" t="s">
        <v>14</v>
      </c>
    </row>
    <row r="78" spans="1:9" x14ac:dyDescent="0.25">
      <c r="A78">
        <v>185</v>
      </c>
      <c r="B78" s="26" t="s">
        <v>34</v>
      </c>
      <c r="C78">
        <v>40</v>
      </c>
      <c r="D78">
        <v>0</v>
      </c>
      <c r="E78">
        <v>3</v>
      </c>
      <c r="F78" t="s">
        <v>14</v>
      </c>
      <c r="G78" t="s">
        <v>14</v>
      </c>
      <c r="I78" t="s">
        <v>14</v>
      </c>
    </row>
    <row r="79" spans="1:9" x14ac:dyDescent="0.25">
      <c r="A79">
        <v>186</v>
      </c>
      <c r="B79" s="26" t="s">
        <v>34</v>
      </c>
      <c r="C79">
        <v>43</v>
      </c>
      <c r="D79">
        <v>0</v>
      </c>
      <c r="E79">
        <v>2</v>
      </c>
      <c r="F79" t="s">
        <v>14</v>
      </c>
      <c r="G79" t="s">
        <v>14</v>
      </c>
      <c r="I79" t="s">
        <v>14</v>
      </c>
    </row>
    <row r="80" spans="1:9" x14ac:dyDescent="0.25">
      <c r="A80">
        <v>187</v>
      </c>
      <c r="B80" s="26" t="s">
        <v>34</v>
      </c>
      <c r="C80">
        <v>26</v>
      </c>
      <c r="D80">
        <v>0</v>
      </c>
      <c r="E80">
        <v>2</v>
      </c>
      <c r="F80" t="s">
        <v>14</v>
      </c>
      <c r="G80" t="s">
        <v>14</v>
      </c>
      <c r="I80" t="s">
        <v>14</v>
      </c>
    </row>
    <row r="81" spans="1:9" x14ac:dyDescent="0.25">
      <c r="A81">
        <v>188</v>
      </c>
      <c r="B81" s="26" t="s">
        <v>34</v>
      </c>
      <c r="C81">
        <v>24</v>
      </c>
      <c r="D81">
        <v>0</v>
      </c>
      <c r="E81">
        <v>3</v>
      </c>
      <c r="F81" t="s">
        <v>14</v>
      </c>
      <c r="G81" t="s">
        <v>14</v>
      </c>
      <c r="I81" t="s">
        <v>14</v>
      </c>
    </row>
    <row r="82" spans="1:9" x14ac:dyDescent="0.25">
      <c r="A82">
        <v>189</v>
      </c>
      <c r="B82" s="26" t="s">
        <v>34</v>
      </c>
      <c r="C82">
        <v>24</v>
      </c>
      <c r="D82">
        <v>1</v>
      </c>
      <c r="E82" t="s">
        <v>14</v>
      </c>
      <c r="F82" t="s">
        <v>16</v>
      </c>
      <c r="G82">
        <v>1</v>
      </c>
      <c r="I82">
        <v>1</v>
      </c>
    </row>
    <row r="83" spans="1:9" x14ac:dyDescent="0.25">
      <c r="A83">
        <v>190</v>
      </c>
      <c r="B83" s="26" t="s">
        <v>34</v>
      </c>
      <c r="C83">
        <v>33</v>
      </c>
      <c r="D83">
        <v>1</v>
      </c>
      <c r="E83" t="s">
        <v>14</v>
      </c>
      <c r="F83" t="s">
        <v>16</v>
      </c>
      <c r="G83">
        <v>1</v>
      </c>
      <c r="I83">
        <v>1</v>
      </c>
    </row>
    <row r="84" spans="1:9" x14ac:dyDescent="0.25">
      <c r="A84">
        <v>191</v>
      </c>
      <c r="B84" s="26" t="s">
        <v>35</v>
      </c>
      <c r="C84">
        <v>54</v>
      </c>
      <c r="D84">
        <v>1</v>
      </c>
      <c r="E84" t="s">
        <v>14</v>
      </c>
      <c r="F84" t="s">
        <v>17</v>
      </c>
      <c r="G84">
        <v>1</v>
      </c>
      <c r="I84">
        <v>1</v>
      </c>
    </row>
    <row r="85" spans="1:9" x14ac:dyDescent="0.25">
      <c r="A85">
        <v>192</v>
      </c>
      <c r="B85" s="26" t="s">
        <v>35</v>
      </c>
      <c r="C85">
        <v>47</v>
      </c>
      <c r="D85">
        <v>0</v>
      </c>
      <c r="E85">
        <v>3</v>
      </c>
      <c r="F85" t="s">
        <v>14</v>
      </c>
      <c r="G85" t="s">
        <v>14</v>
      </c>
      <c r="I85" t="s">
        <v>14</v>
      </c>
    </row>
    <row r="86" spans="1:9" x14ac:dyDescent="0.25">
      <c r="A86">
        <v>193</v>
      </c>
      <c r="B86" s="26" t="s">
        <v>34</v>
      </c>
      <c r="C86">
        <v>51</v>
      </c>
      <c r="D86">
        <v>1</v>
      </c>
      <c r="E86" t="s">
        <v>14</v>
      </c>
      <c r="F86" t="s">
        <v>17</v>
      </c>
      <c r="G86">
        <v>1</v>
      </c>
      <c r="I86">
        <v>1</v>
      </c>
    </row>
    <row r="87" spans="1:9" x14ac:dyDescent="0.25">
      <c r="A87">
        <v>194</v>
      </c>
      <c r="B87" s="26" t="s">
        <v>35</v>
      </c>
      <c r="C87">
        <v>33</v>
      </c>
      <c r="D87">
        <v>0</v>
      </c>
      <c r="E87">
        <v>1</v>
      </c>
      <c r="F87" t="s">
        <v>14</v>
      </c>
      <c r="G87" t="s">
        <v>14</v>
      </c>
      <c r="I87" t="s">
        <v>14</v>
      </c>
    </row>
    <row r="88" spans="1:9" x14ac:dyDescent="0.25">
      <c r="A88">
        <v>195</v>
      </c>
      <c r="B88" s="26" t="s">
        <v>34</v>
      </c>
      <c r="C88">
        <v>29</v>
      </c>
      <c r="D88">
        <v>1</v>
      </c>
      <c r="E88" t="s">
        <v>14</v>
      </c>
      <c r="F88" t="s">
        <v>16</v>
      </c>
      <c r="G88">
        <v>1</v>
      </c>
      <c r="I88">
        <v>1</v>
      </c>
    </row>
    <row r="89" spans="1:9" x14ac:dyDescent="0.25">
      <c r="A89">
        <v>196</v>
      </c>
      <c r="B89" s="26" t="s">
        <v>34</v>
      </c>
      <c r="C89">
        <v>54</v>
      </c>
      <c r="D89">
        <v>1</v>
      </c>
      <c r="E89" t="s">
        <v>14</v>
      </c>
      <c r="F89" t="s">
        <v>16</v>
      </c>
      <c r="G89">
        <v>0</v>
      </c>
      <c r="I89">
        <v>1</v>
      </c>
    </row>
    <row r="90" spans="1:9" x14ac:dyDescent="0.25">
      <c r="A90">
        <v>197</v>
      </c>
      <c r="B90" s="26" t="s">
        <v>34</v>
      </c>
      <c r="C90">
        <v>28</v>
      </c>
      <c r="D90">
        <v>1</v>
      </c>
      <c r="E90" t="s">
        <v>14</v>
      </c>
      <c r="F90" t="s">
        <v>17</v>
      </c>
      <c r="G90">
        <v>1</v>
      </c>
      <c r="I90">
        <v>1</v>
      </c>
    </row>
    <row r="91" spans="1:9" x14ac:dyDescent="0.25">
      <c r="A91">
        <v>198</v>
      </c>
      <c r="B91" s="26" t="s">
        <v>35</v>
      </c>
      <c r="C91">
        <v>21</v>
      </c>
      <c r="D91">
        <v>0</v>
      </c>
      <c r="E91">
        <v>3</v>
      </c>
      <c r="F91" t="s">
        <v>14</v>
      </c>
      <c r="G91" t="s">
        <v>14</v>
      </c>
      <c r="I91" t="s">
        <v>14</v>
      </c>
    </row>
    <row r="92" spans="1:9" x14ac:dyDescent="0.25">
      <c r="A92">
        <v>199</v>
      </c>
      <c r="B92" s="26" t="s">
        <v>35</v>
      </c>
      <c r="C92">
        <v>21</v>
      </c>
      <c r="D92">
        <v>0</v>
      </c>
      <c r="E92">
        <v>1</v>
      </c>
      <c r="F92" t="s">
        <v>14</v>
      </c>
      <c r="G92" t="s">
        <v>14</v>
      </c>
      <c r="I92" t="s">
        <v>14</v>
      </c>
    </row>
    <row r="93" spans="1:9" x14ac:dyDescent="0.25">
      <c r="A93">
        <v>200</v>
      </c>
      <c r="B93" s="26" t="s">
        <v>34</v>
      </c>
      <c r="C93">
        <v>20</v>
      </c>
      <c r="D93">
        <v>1</v>
      </c>
      <c r="E93" t="s">
        <v>14</v>
      </c>
      <c r="F93" t="s">
        <v>17</v>
      </c>
      <c r="G93">
        <v>1</v>
      </c>
      <c r="I93">
        <v>1</v>
      </c>
    </row>
    <row r="94" spans="1:9" x14ac:dyDescent="0.25">
      <c r="A94">
        <v>201</v>
      </c>
      <c r="B94" s="26" t="s">
        <v>34</v>
      </c>
      <c r="C94">
        <v>47</v>
      </c>
      <c r="D94">
        <v>1</v>
      </c>
      <c r="E94" t="s">
        <v>14</v>
      </c>
      <c r="F94" t="s">
        <v>16</v>
      </c>
      <c r="G94">
        <v>1</v>
      </c>
      <c r="I94">
        <v>1</v>
      </c>
    </row>
    <row r="95" spans="1:9" x14ac:dyDescent="0.25">
      <c r="A95">
        <v>202</v>
      </c>
      <c r="B95" s="26" t="s">
        <v>35</v>
      </c>
      <c r="C95">
        <v>38</v>
      </c>
      <c r="D95">
        <v>0</v>
      </c>
      <c r="E95">
        <v>1</v>
      </c>
      <c r="F95" t="s">
        <v>14</v>
      </c>
      <c r="G95" t="s">
        <v>14</v>
      </c>
      <c r="I95" t="s">
        <v>14</v>
      </c>
    </row>
    <row r="96" spans="1:9" x14ac:dyDescent="0.25">
      <c r="A96">
        <v>203</v>
      </c>
      <c r="B96" s="26" t="s">
        <v>35</v>
      </c>
      <c r="C96">
        <v>29</v>
      </c>
      <c r="D96">
        <v>1</v>
      </c>
      <c r="E96" t="s">
        <v>14</v>
      </c>
      <c r="F96" t="s">
        <v>16</v>
      </c>
      <c r="G96">
        <v>1</v>
      </c>
      <c r="I96">
        <v>1</v>
      </c>
    </row>
    <row r="97" spans="1:9" x14ac:dyDescent="0.25">
      <c r="A97">
        <v>204</v>
      </c>
      <c r="B97" s="26" t="s">
        <v>35</v>
      </c>
      <c r="C97">
        <v>43</v>
      </c>
      <c r="D97">
        <v>1</v>
      </c>
      <c r="E97" t="s">
        <v>14</v>
      </c>
      <c r="F97" t="s">
        <v>17</v>
      </c>
      <c r="G97">
        <v>1</v>
      </c>
      <c r="I97">
        <v>1</v>
      </c>
    </row>
    <row r="98" spans="1:9" x14ac:dyDescent="0.25">
      <c r="A98">
        <v>205</v>
      </c>
      <c r="B98" s="26" t="s">
        <v>35</v>
      </c>
      <c r="C98">
        <v>46</v>
      </c>
      <c r="D98">
        <v>0</v>
      </c>
      <c r="E98">
        <v>1</v>
      </c>
      <c r="F98" t="s">
        <v>14</v>
      </c>
      <c r="G98" t="s">
        <v>14</v>
      </c>
      <c r="I98" t="s">
        <v>14</v>
      </c>
    </row>
    <row r="99" spans="1:9" x14ac:dyDescent="0.25">
      <c r="A99">
        <v>206</v>
      </c>
      <c r="B99" s="26" t="s">
        <v>35</v>
      </c>
      <c r="C99">
        <v>22</v>
      </c>
      <c r="D99">
        <v>1</v>
      </c>
      <c r="E99" t="s">
        <v>14</v>
      </c>
      <c r="F99" t="s">
        <v>16</v>
      </c>
      <c r="G99">
        <v>1</v>
      </c>
      <c r="I99">
        <v>1</v>
      </c>
    </row>
    <row r="100" spans="1:9" x14ac:dyDescent="0.25">
      <c r="A100">
        <v>207</v>
      </c>
      <c r="B100" s="26" t="s">
        <v>35</v>
      </c>
      <c r="C100">
        <v>46</v>
      </c>
      <c r="D100">
        <v>1</v>
      </c>
      <c r="E100" t="s">
        <v>14</v>
      </c>
      <c r="F100" t="s">
        <v>16</v>
      </c>
      <c r="G100">
        <v>1</v>
      </c>
      <c r="I100">
        <v>1</v>
      </c>
    </row>
    <row r="101" spans="1:9" x14ac:dyDescent="0.25">
      <c r="A101">
        <v>209</v>
      </c>
      <c r="B101" s="26" t="s">
        <v>34</v>
      </c>
      <c r="C101">
        <v>43</v>
      </c>
      <c r="D101">
        <v>0</v>
      </c>
      <c r="E101">
        <v>2</v>
      </c>
      <c r="F101" t="s">
        <v>14</v>
      </c>
      <c r="G101" t="s">
        <v>14</v>
      </c>
      <c r="I101" t="s">
        <v>14</v>
      </c>
    </row>
    <row r="102" spans="1:9" x14ac:dyDescent="0.25">
      <c r="A102">
        <v>210</v>
      </c>
      <c r="B102" s="26" t="s">
        <v>34</v>
      </c>
      <c r="C102">
        <v>53</v>
      </c>
      <c r="D102">
        <v>0</v>
      </c>
      <c r="E102">
        <v>4</v>
      </c>
      <c r="F102" t="s">
        <v>14</v>
      </c>
      <c r="G102" t="s">
        <v>14</v>
      </c>
      <c r="I102" t="s">
        <v>14</v>
      </c>
    </row>
    <row r="103" spans="1:9" x14ac:dyDescent="0.25">
      <c r="A103">
        <v>211</v>
      </c>
      <c r="B103" s="26" t="s">
        <v>34</v>
      </c>
      <c r="C103">
        <v>31</v>
      </c>
      <c r="D103">
        <v>1</v>
      </c>
      <c r="E103" t="s">
        <v>14</v>
      </c>
      <c r="F103" t="s">
        <v>17</v>
      </c>
      <c r="G103">
        <v>1</v>
      </c>
      <c r="I103">
        <v>1</v>
      </c>
    </row>
    <row r="104" spans="1:9" x14ac:dyDescent="0.25">
      <c r="A104">
        <v>212</v>
      </c>
      <c r="B104" s="26" t="s">
        <v>35</v>
      </c>
      <c r="C104">
        <v>33</v>
      </c>
      <c r="D104">
        <v>1</v>
      </c>
      <c r="E104" t="s">
        <v>14</v>
      </c>
      <c r="F104" t="s">
        <v>17</v>
      </c>
      <c r="G104">
        <v>1</v>
      </c>
      <c r="I104">
        <v>1</v>
      </c>
    </row>
    <row r="105" spans="1:9" x14ac:dyDescent="0.25">
      <c r="A105">
        <v>213</v>
      </c>
      <c r="B105" s="26" t="s">
        <v>35</v>
      </c>
      <c r="C105">
        <v>41</v>
      </c>
      <c r="D105">
        <v>1</v>
      </c>
      <c r="E105" t="s">
        <v>14</v>
      </c>
      <c r="F105" t="s">
        <v>16</v>
      </c>
      <c r="G105">
        <v>1</v>
      </c>
      <c r="I105">
        <v>1</v>
      </c>
    </row>
    <row r="106" spans="1:9" x14ac:dyDescent="0.25">
      <c r="A106">
        <v>214</v>
      </c>
      <c r="B106" s="26" t="s">
        <v>35</v>
      </c>
      <c r="C106">
        <v>48</v>
      </c>
      <c r="D106">
        <v>0</v>
      </c>
      <c r="E106">
        <v>3</v>
      </c>
      <c r="F106" t="s">
        <v>14</v>
      </c>
      <c r="G106" t="s">
        <v>14</v>
      </c>
      <c r="I106" t="s">
        <v>14</v>
      </c>
    </row>
    <row r="107" spans="1:9" x14ac:dyDescent="0.25">
      <c r="A107">
        <v>215</v>
      </c>
      <c r="B107" s="26" t="s">
        <v>34</v>
      </c>
      <c r="C107">
        <v>29</v>
      </c>
      <c r="D107">
        <v>0</v>
      </c>
      <c r="E107">
        <v>3</v>
      </c>
      <c r="F107" t="s">
        <v>14</v>
      </c>
      <c r="G107" t="s">
        <v>14</v>
      </c>
      <c r="I107" t="s">
        <v>14</v>
      </c>
    </row>
    <row r="108" spans="1:9" x14ac:dyDescent="0.25">
      <c r="A108">
        <v>216</v>
      </c>
      <c r="B108" s="26" t="s">
        <v>34</v>
      </c>
      <c r="C108">
        <v>53</v>
      </c>
      <c r="D108">
        <v>1</v>
      </c>
      <c r="E108" t="s">
        <v>14</v>
      </c>
      <c r="F108" t="s">
        <v>17</v>
      </c>
      <c r="G108">
        <v>1</v>
      </c>
      <c r="I108">
        <v>1</v>
      </c>
    </row>
    <row r="109" spans="1:9" x14ac:dyDescent="0.25">
      <c r="A109">
        <v>217</v>
      </c>
      <c r="B109" s="26" t="s">
        <v>34</v>
      </c>
      <c r="C109">
        <v>35</v>
      </c>
      <c r="D109">
        <v>0</v>
      </c>
      <c r="E109">
        <v>3</v>
      </c>
      <c r="F109" t="s">
        <v>14</v>
      </c>
      <c r="G109" t="s">
        <v>14</v>
      </c>
      <c r="I109" t="s">
        <v>14</v>
      </c>
    </row>
    <row r="110" spans="1:9" x14ac:dyDescent="0.25">
      <c r="A110">
        <v>218</v>
      </c>
      <c r="B110" s="26" t="s">
        <v>35</v>
      </c>
      <c r="C110">
        <v>19</v>
      </c>
      <c r="D110">
        <v>1</v>
      </c>
      <c r="E110" t="s">
        <v>14</v>
      </c>
      <c r="F110" t="s">
        <v>16</v>
      </c>
      <c r="G110">
        <v>1</v>
      </c>
      <c r="H110">
        <v>1</v>
      </c>
      <c r="I110">
        <v>1</v>
      </c>
    </row>
    <row r="111" spans="1:9" x14ac:dyDescent="0.25">
      <c r="A111">
        <v>219</v>
      </c>
      <c r="B111" s="26" t="s">
        <v>34</v>
      </c>
      <c r="C111">
        <v>30</v>
      </c>
      <c r="D111">
        <v>1</v>
      </c>
      <c r="E111" t="s">
        <v>14</v>
      </c>
      <c r="F111" t="s">
        <v>16</v>
      </c>
      <c r="G111">
        <v>1</v>
      </c>
      <c r="I111">
        <v>1</v>
      </c>
    </row>
    <row r="112" spans="1:9" x14ac:dyDescent="0.25">
      <c r="A112">
        <v>220</v>
      </c>
      <c r="B112" s="26" t="s">
        <v>34</v>
      </c>
      <c r="C112">
        <v>27</v>
      </c>
      <c r="D112">
        <v>0</v>
      </c>
      <c r="E112">
        <v>3</v>
      </c>
      <c r="F112" t="s">
        <v>14</v>
      </c>
      <c r="G112" t="s">
        <v>14</v>
      </c>
      <c r="I112" t="s">
        <v>14</v>
      </c>
    </row>
    <row r="113" spans="1:9" x14ac:dyDescent="0.25">
      <c r="A113">
        <v>221</v>
      </c>
      <c r="B113" s="26" t="s">
        <v>34</v>
      </c>
      <c r="C113">
        <v>36</v>
      </c>
      <c r="D113">
        <v>0</v>
      </c>
      <c r="E113">
        <v>2</v>
      </c>
      <c r="F113" t="s">
        <v>14</v>
      </c>
      <c r="G113" t="s">
        <v>14</v>
      </c>
      <c r="I113" t="s">
        <v>14</v>
      </c>
    </row>
    <row r="114" spans="1:9" x14ac:dyDescent="0.25">
      <c r="A114">
        <v>222</v>
      </c>
      <c r="B114" s="26" t="s">
        <v>34</v>
      </c>
      <c r="C114">
        <v>27</v>
      </c>
      <c r="D114">
        <v>1</v>
      </c>
      <c r="E114" t="s">
        <v>14</v>
      </c>
      <c r="F114" t="s">
        <v>17</v>
      </c>
      <c r="G114">
        <v>1</v>
      </c>
      <c r="I114">
        <v>1</v>
      </c>
    </row>
    <row r="115" spans="1:9" x14ac:dyDescent="0.25">
      <c r="A115">
        <v>223</v>
      </c>
      <c r="B115" s="26" t="s">
        <v>35</v>
      </c>
      <c r="C115">
        <v>53</v>
      </c>
      <c r="D115">
        <v>1</v>
      </c>
      <c r="E115" t="s">
        <v>14</v>
      </c>
      <c r="F115" t="s">
        <v>16</v>
      </c>
      <c r="G115">
        <v>1</v>
      </c>
      <c r="I115">
        <v>1</v>
      </c>
    </row>
    <row r="116" spans="1:9" x14ac:dyDescent="0.25">
      <c r="A116">
        <v>224</v>
      </c>
      <c r="B116" s="26" t="s">
        <v>34</v>
      </c>
      <c r="C116">
        <v>34</v>
      </c>
      <c r="D116">
        <v>1</v>
      </c>
      <c r="E116" t="s">
        <v>14</v>
      </c>
      <c r="F116" t="s">
        <v>17</v>
      </c>
      <c r="G116">
        <v>1</v>
      </c>
      <c r="I116">
        <v>1</v>
      </c>
    </row>
    <row r="117" spans="1:9" x14ac:dyDescent="0.25">
      <c r="A117">
        <v>225</v>
      </c>
      <c r="B117" s="26" t="s">
        <v>34</v>
      </c>
      <c r="C117">
        <v>28</v>
      </c>
      <c r="D117">
        <v>0</v>
      </c>
      <c r="E117">
        <v>5</v>
      </c>
      <c r="F117" t="s">
        <v>14</v>
      </c>
      <c r="G117" t="s">
        <v>14</v>
      </c>
      <c r="I117" t="s">
        <v>14</v>
      </c>
    </row>
    <row r="118" spans="1:9" x14ac:dyDescent="0.25">
      <c r="A118">
        <v>226</v>
      </c>
      <c r="B118" s="26" t="s">
        <v>34</v>
      </c>
      <c r="C118">
        <v>39</v>
      </c>
      <c r="D118">
        <v>1</v>
      </c>
      <c r="E118" t="s">
        <v>14</v>
      </c>
      <c r="F118" t="s">
        <v>16</v>
      </c>
      <c r="G118">
        <v>1</v>
      </c>
      <c r="I118">
        <v>1</v>
      </c>
    </row>
    <row r="119" spans="1:9" x14ac:dyDescent="0.25">
      <c r="A119">
        <v>227</v>
      </c>
      <c r="B119" s="26" t="s">
        <v>35</v>
      </c>
      <c r="C119">
        <v>24</v>
      </c>
      <c r="D119">
        <v>0</v>
      </c>
      <c r="E119">
        <v>3</v>
      </c>
      <c r="F119" t="s">
        <v>14</v>
      </c>
      <c r="G119" t="s">
        <v>14</v>
      </c>
      <c r="I119" t="s">
        <v>14</v>
      </c>
    </row>
    <row r="120" spans="1:9" x14ac:dyDescent="0.25">
      <c r="A120">
        <v>228</v>
      </c>
      <c r="B120" s="26" t="s">
        <v>34</v>
      </c>
      <c r="C120">
        <v>33</v>
      </c>
      <c r="D120">
        <v>0</v>
      </c>
      <c r="E120">
        <v>1</v>
      </c>
      <c r="F120" t="s">
        <v>14</v>
      </c>
      <c r="G120" t="s">
        <v>14</v>
      </c>
      <c r="I120" t="s">
        <v>14</v>
      </c>
    </row>
    <row r="121" spans="1:9" x14ac:dyDescent="0.25">
      <c r="A121">
        <v>229</v>
      </c>
      <c r="B121" s="26" t="s">
        <v>34</v>
      </c>
      <c r="C121">
        <v>42</v>
      </c>
      <c r="D121">
        <v>1</v>
      </c>
      <c r="E121" t="s">
        <v>14</v>
      </c>
      <c r="F121" t="s">
        <v>17</v>
      </c>
      <c r="G121">
        <v>1</v>
      </c>
      <c r="I121">
        <v>1</v>
      </c>
    </row>
    <row r="122" spans="1:9" x14ac:dyDescent="0.25">
      <c r="A122">
        <v>230</v>
      </c>
      <c r="B122" s="26" t="s">
        <v>35</v>
      </c>
      <c r="C122">
        <v>53</v>
      </c>
      <c r="D122">
        <v>1</v>
      </c>
      <c r="E122" t="s">
        <v>14</v>
      </c>
      <c r="F122" t="s">
        <v>16</v>
      </c>
      <c r="G122">
        <v>1</v>
      </c>
      <c r="I122">
        <v>1</v>
      </c>
    </row>
    <row r="123" spans="1:9" x14ac:dyDescent="0.25">
      <c r="A123">
        <v>231</v>
      </c>
      <c r="B123" s="26" t="s">
        <v>34</v>
      </c>
      <c r="C123">
        <v>39</v>
      </c>
      <c r="D123">
        <v>1</v>
      </c>
      <c r="E123" t="s">
        <v>14</v>
      </c>
      <c r="F123" t="s">
        <v>16</v>
      </c>
      <c r="G123">
        <v>1</v>
      </c>
      <c r="I123">
        <v>1</v>
      </c>
    </row>
    <row r="124" spans="1:9" x14ac:dyDescent="0.25">
      <c r="A124">
        <v>232</v>
      </c>
      <c r="B124" s="26" t="s">
        <v>34</v>
      </c>
      <c r="C124">
        <v>46</v>
      </c>
      <c r="D124">
        <v>1</v>
      </c>
      <c r="E124" t="s">
        <v>14</v>
      </c>
      <c r="F124" t="s">
        <v>17</v>
      </c>
      <c r="G124">
        <v>1</v>
      </c>
      <c r="I124">
        <v>1</v>
      </c>
    </row>
    <row r="125" spans="1:9" x14ac:dyDescent="0.25">
      <c r="A125">
        <v>233</v>
      </c>
      <c r="B125" s="26" t="s">
        <v>34</v>
      </c>
      <c r="C125">
        <v>54</v>
      </c>
      <c r="D125">
        <v>1</v>
      </c>
      <c r="E125" t="s">
        <v>14</v>
      </c>
      <c r="F125" t="s">
        <v>17</v>
      </c>
      <c r="G125">
        <v>1</v>
      </c>
      <c r="I125">
        <v>1</v>
      </c>
    </row>
    <row r="126" spans="1:9" x14ac:dyDescent="0.25">
      <c r="A126">
        <v>234</v>
      </c>
      <c r="B126" s="26" t="s">
        <v>34</v>
      </c>
      <c r="C126">
        <v>18</v>
      </c>
      <c r="D126">
        <v>0</v>
      </c>
      <c r="E126">
        <v>1</v>
      </c>
      <c r="F126" t="s">
        <v>14</v>
      </c>
      <c r="G126" t="s">
        <v>14</v>
      </c>
      <c r="I126" t="s">
        <v>14</v>
      </c>
    </row>
    <row r="127" spans="1:9" x14ac:dyDescent="0.25">
      <c r="A127">
        <v>235</v>
      </c>
      <c r="B127" s="26" t="s">
        <v>35</v>
      </c>
      <c r="C127">
        <v>36</v>
      </c>
      <c r="D127">
        <v>1</v>
      </c>
      <c r="E127" t="s">
        <v>14</v>
      </c>
      <c r="F127" t="s">
        <v>17</v>
      </c>
      <c r="G127">
        <v>1</v>
      </c>
      <c r="I127">
        <v>1</v>
      </c>
    </row>
    <row r="128" spans="1:9" x14ac:dyDescent="0.25">
      <c r="A128">
        <v>236</v>
      </c>
      <c r="B128" s="26" t="s">
        <v>35</v>
      </c>
      <c r="C128">
        <v>48</v>
      </c>
      <c r="D128">
        <v>1</v>
      </c>
      <c r="E128" t="s">
        <v>14</v>
      </c>
      <c r="F128" t="s">
        <v>16</v>
      </c>
      <c r="G128">
        <v>1</v>
      </c>
      <c r="I128">
        <v>1</v>
      </c>
    </row>
    <row r="129" spans="1:9" x14ac:dyDescent="0.25">
      <c r="A129">
        <v>237</v>
      </c>
      <c r="B129" s="26" t="s">
        <v>34</v>
      </c>
      <c r="C129">
        <v>34</v>
      </c>
      <c r="D129">
        <v>0</v>
      </c>
      <c r="E129">
        <v>3</v>
      </c>
      <c r="F129" t="s">
        <v>14</v>
      </c>
      <c r="G129" t="s">
        <v>14</v>
      </c>
      <c r="I129" t="s">
        <v>14</v>
      </c>
    </row>
    <row r="130" spans="1:9" x14ac:dyDescent="0.25">
      <c r="A130">
        <v>238</v>
      </c>
      <c r="B130" s="26" t="s">
        <v>35</v>
      </c>
      <c r="C130">
        <v>28</v>
      </c>
      <c r="D130">
        <v>0</v>
      </c>
      <c r="E130">
        <v>1</v>
      </c>
      <c r="F130" t="s">
        <v>14</v>
      </c>
      <c r="G130" t="s">
        <v>14</v>
      </c>
      <c r="I130" t="s">
        <v>14</v>
      </c>
    </row>
    <row r="131" spans="1:9" x14ac:dyDescent="0.25">
      <c r="A131">
        <v>240</v>
      </c>
      <c r="B131" s="26" t="s">
        <v>35</v>
      </c>
      <c r="C131">
        <v>41</v>
      </c>
      <c r="D131">
        <v>0</v>
      </c>
      <c r="E131">
        <v>3</v>
      </c>
      <c r="F131" t="s">
        <v>14</v>
      </c>
      <c r="G131" t="s">
        <v>14</v>
      </c>
      <c r="I131" t="s">
        <v>14</v>
      </c>
    </row>
    <row r="132" spans="1:9" x14ac:dyDescent="0.25">
      <c r="A132">
        <v>241</v>
      </c>
      <c r="B132" s="26" t="s">
        <v>35</v>
      </c>
      <c r="C132">
        <v>32</v>
      </c>
      <c r="D132">
        <v>0</v>
      </c>
      <c r="E132">
        <v>1</v>
      </c>
      <c r="F132" t="s">
        <v>14</v>
      </c>
      <c r="G132" t="s">
        <v>14</v>
      </c>
      <c r="I132" t="s">
        <v>14</v>
      </c>
    </row>
    <row r="133" spans="1:9" x14ac:dyDescent="0.25">
      <c r="A133">
        <v>242</v>
      </c>
      <c r="B133" s="26" t="s">
        <v>34</v>
      </c>
      <c r="C133">
        <v>22</v>
      </c>
      <c r="D133">
        <v>1</v>
      </c>
      <c r="E133" t="s">
        <v>14</v>
      </c>
      <c r="F133" t="s">
        <v>16</v>
      </c>
      <c r="G133">
        <v>1</v>
      </c>
      <c r="I133">
        <v>1</v>
      </c>
    </row>
    <row r="134" spans="1:9" x14ac:dyDescent="0.25">
      <c r="A134">
        <v>243</v>
      </c>
      <c r="B134" s="26" t="s">
        <v>35</v>
      </c>
      <c r="C134">
        <v>19</v>
      </c>
      <c r="D134">
        <v>1</v>
      </c>
      <c r="E134" t="s">
        <v>14</v>
      </c>
      <c r="F134" t="s">
        <v>17</v>
      </c>
      <c r="G134">
        <v>1</v>
      </c>
      <c r="I134">
        <v>1</v>
      </c>
    </row>
    <row r="135" spans="1:9" x14ac:dyDescent="0.25">
      <c r="A135">
        <v>244</v>
      </c>
      <c r="B135" s="26" t="s">
        <v>35</v>
      </c>
      <c r="C135">
        <v>24</v>
      </c>
      <c r="D135">
        <v>0</v>
      </c>
      <c r="E135">
        <v>3</v>
      </c>
      <c r="F135" t="s">
        <v>14</v>
      </c>
      <c r="G135" t="s">
        <v>14</v>
      </c>
      <c r="I135" t="s">
        <v>14</v>
      </c>
    </row>
    <row r="136" spans="1:9" x14ac:dyDescent="0.25">
      <c r="A136">
        <v>245</v>
      </c>
      <c r="B136" s="26" t="s">
        <v>34</v>
      </c>
      <c r="C136">
        <v>54</v>
      </c>
      <c r="D136">
        <v>1</v>
      </c>
      <c r="E136" t="s">
        <v>14</v>
      </c>
      <c r="F136" t="s">
        <v>16</v>
      </c>
      <c r="G136">
        <v>1</v>
      </c>
      <c r="I136">
        <v>1</v>
      </c>
    </row>
    <row r="137" spans="1:9" x14ac:dyDescent="0.25">
      <c r="A137">
        <v>246</v>
      </c>
      <c r="B137" s="26" t="s">
        <v>34</v>
      </c>
      <c r="C137">
        <v>40</v>
      </c>
      <c r="D137">
        <v>1</v>
      </c>
      <c r="E137" t="s">
        <v>14</v>
      </c>
      <c r="F137" t="s">
        <v>17</v>
      </c>
      <c r="G137">
        <v>1</v>
      </c>
      <c r="I137">
        <v>1</v>
      </c>
    </row>
    <row r="138" spans="1:9" x14ac:dyDescent="0.25">
      <c r="A138">
        <v>247</v>
      </c>
      <c r="B138" s="26" t="s">
        <v>35</v>
      </c>
      <c r="C138">
        <v>55</v>
      </c>
      <c r="D138">
        <v>1</v>
      </c>
      <c r="E138" t="s">
        <v>14</v>
      </c>
      <c r="F138" t="s">
        <v>16</v>
      </c>
      <c r="G138">
        <v>1</v>
      </c>
      <c r="I138">
        <v>1</v>
      </c>
    </row>
    <row r="139" spans="1:9" x14ac:dyDescent="0.25">
      <c r="A139">
        <v>248</v>
      </c>
      <c r="B139" s="26" t="s">
        <v>35</v>
      </c>
      <c r="C139">
        <v>28</v>
      </c>
      <c r="D139">
        <v>0</v>
      </c>
      <c r="E139">
        <v>3</v>
      </c>
      <c r="F139" t="s">
        <v>14</v>
      </c>
      <c r="G139" t="s">
        <v>14</v>
      </c>
      <c r="I139" t="s">
        <v>14</v>
      </c>
    </row>
    <row r="140" spans="1:9" x14ac:dyDescent="0.25">
      <c r="A140">
        <v>250</v>
      </c>
      <c r="B140" s="26" t="s">
        <v>34</v>
      </c>
      <c r="C140">
        <v>18</v>
      </c>
      <c r="D140">
        <v>1</v>
      </c>
      <c r="E140" t="s">
        <v>14</v>
      </c>
      <c r="F140" t="s">
        <v>17</v>
      </c>
      <c r="G140">
        <v>1</v>
      </c>
      <c r="I140">
        <v>1</v>
      </c>
    </row>
    <row r="141" spans="1:9" x14ac:dyDescent="0.25">
      <c r="A141">
        <v>251</v>
      </c>
      <c r="B141" s="26" t="s">
        <v>35</v>
      </c>
      <c r="C141">
        <v>33</v>
      </c>
      <c r="D141">
        <v>0</v>
      </c>
      <c r="E141">
        <v>3</v>
      </c>
      <c r="F141" t="s">
        <v>14</v>
      </c>
      <c r="G141" t="s">
        <v>14</v>
      </c>
      <c r="I141" t="s">
        <v>14</v>
      </c>
    </row>
    <row r="142" spans="1:9" x14ac:dyDescent="0.25">
      <c r="A142">
        <v>252</v>
      </c>
      <c r="B142" s="26" t="s">
        <v>34</v>
      </c>
      <c r="C142">
        <v>44</v>
      </c>
      <c r="D142">
        <v>0</v>
      </c>
      <c r="E142">
        <v>1</v>
      </c>
      <c r="F142" t="s">
        <v>14</v>
      </c>
      <c r="G142" t="s">
        <v>14</v>
      </c>
      <c r="I142" t="s">
        <v>14</v>
      </c>
    </row>
    <row r="143" spans="1:9" x14ac:dyDescent="0.25">
      <c r="A143">
        <v>253</v>
      </c>
      <c r="B143" s="26" t="s">
        <v>35</v>
      </c>
      <c r="C143">
        <v>42</v>
      </c>
      <c r="D143">
        <v>0</v>
      </c>
      <c r="E143">
        <v>3</v>
      </c>
      <c r="F143" t="s">
        <v>14</v>
      </c>
      <c r="G143" t="s">
        <v>14</v>
      </c>
      <c r="I143" t="s">
        <v>14</v>
      </c>
    </row>
    <row r="144" spans="1:9" x14ac:dyDescent="0.25">
      <c r="A144">
        <v>256</v>
      </c>
      <c r="B144" s="26" t="s">
        <v>34</v>
      </c>
      <c r="C144">
        <v>30</v>
      </c>
      <c r="D144">
        <v>1</v>
      </c>
      <c r="E144" t="s">
        <v>14</v>
      </c>
      <c r="F144" t="s">
        <v>17</v>
      </c>
      <c r="G144">
        <v>0</v>
      </c>
      <c r="I144">
        <v>1</v>
      </c>
    </row>
    <row r="145" spans="1:9" x14ac:dyDescent="0.25">
      <c r="A145">
        <v>257</v>
      </c>
      <c r="B145" s="26" t="s">
        <v>35</v>
      </c>
      <c r="C145">
        <v>45</v>
      </c>
      <c r="D145">
        <v>0</v>
      </c>
      <c r="E145">
        <v>3</v>
      </c>
      <c r="F145" t="s">
        <v>14</v>
      </c>
      <c r="G145" t="s">
        <v>14</v>
      </c>
      <c r="I145" t="s">
        <v>14</v>
      </c>
    </row>
    <row r="146" spans="1:9" x14ac:dyDescent="0.25">
      <c r="A146">
        <v>258</v>
      </c>
      <c r="B146" s="26" t="s">
        <v>35</v>
      </c>
      <c r="C146">
        <v>26</v>
      </c>
      <c r="D146">
        <v>1</v>
      </c>
      <c r="E146" t="s">
        <v>14</v>
      </c>
      <c r="F146" t="s">
        <v>16</v>
      </c>
      <c r="G146">
        <v>1</v>
      </c>
      <c r="I146">
        <v>1</v>
      </c>
    </row>
    <row r="147" spans="1:9" x14ac:dyDescent="0.25">
      <c r="A147">
        <v>259</v>
      </c>
      <c r="B147" s="26" t="s">
        <v>34</v>
      </c>
      <c r="C147">
        <v>52</v>
      </c>
      <c r="D147">
        <v>1</v>
      </c>
      <c r="E147" t="s">
        <v>14</v>
      </c>
      <c r="F147" t="s">
        <v>16</v>
      </c>
      <c r="G147">
        <v>1</v>
      </c>
      <c r="I147">
        <v>1</v>
      </c>
    </row>
    <row r="148" spans="1:9" x14ac:dyDescent="0.25">
      <c r="A148">
        <v>260</v>
      </c>
      <c r="B148" s="26" t="s">
        <v>35</v>
      </c>
      <c r="C148">
        <v>43</v>
      </c>
      <c r="D148">
        <v>1</v>
      </c>
      <c r="E148" t="s">
        <v>14</v>
      </c>
      <c r="F148" t="s">
        <v>17</v>
      </c>
      <c r="G148">
        <v>1</v>
      </c>
      <c r="I148">
        <v>1</v>
      </c>
    </row>
    <row r="149" spans="1:9" x14ac:dyDescent="0.25">
      <c r="A149">
        <v>261</v>
      </c>
      <c r="B149" s="26" t="s">
        <v>35</v>
      </c>
      <c r="C149">
        <v>41</v>
      </c>
      <c r="D149">
        <v>0</v>
      </c>
      <c r="E149">
        <v>1</v>
      </c>
      <c r="F149" t="s">
        <v>14</v>
      </c>
      <c r="G149" t="s">
        <v>14</v>
      </c>
      <c r="I149" t="s">
        <v>14</v>
      </c>
    </row>
    <row r="150" spans="1:9" x14ac:dyDescent="0.25">
      <c r="A150">
        <v>262</v>
      </c>
      <c r="B150" s="26" t="s">
        <v>34</v>
      </c>
      <c r="C150">
        <v>38</v>
      </c>
      <c r="D150">
        <v>0</v>
      </c>
      <c r="E150">
        <v>1</v>
      </c>
      <c r="F150" t="s">
        <v>14</v>
      </c>
      <c r="G150" t="s">
        <v>14</v>
      </c>
      <c r="I150" t="s">
        <v>14</v>
      </c>
    </row>
    <row r="151" spans="1:9" x14ac:dyDescent="0.25">
      <c r="A151">
        <v>263</v>
      </c>
      <c r="B151" s="26" t="s">
        <v>35</v>
      </c>
      <c r="C151">
        <v>20</v>
      </c>
      <c r="D151">
        <v>0</v>
      </c>
      <c r="E151">
        <v>2</v>
      </c>
      <c r="F151" t="s">
        <v>14</v>
      </c>
      <c r="G151" t="s">
        <v>14</v>
      </c>
      <c r="I151" t="s">
        <v>14</v>
      </c>
    </row>
    <row r="152" spans="1:9" x14ac:dyDescent="0.25">
      <c r="A152">
        <v>264</v>
      </c>
      <c r="B152" s="26" t="s">
        <v>34</v>
      </c>
      <c r="C152">
        <v>43</v>
      </c>
      <c r="D152">
        <v>0</v>
      </c>
      <c r="E152">
        <v>1</v>
      </c>
      <c r="F152" t="s">
        <v>14</v>
      </c>
      <c r="G152" t="s">
        <v>14</v>
      </c>
      <c r="I152" t="s">
        <v>14</v>
      </c>
    </row>
    <row r="153" spans="1:9" x14ac:dyDescent="0.25">
      <c r="A153">
        <v>265</v>
      </c>
      <c r="B153" s="26" t="s">
        <v>34</v>
      </c>
      <c r="C153">
        <v>24</v>
      </c>
      <c r="D153">
        <v>1</v>
      </c>
      <c r="E153" t="s">
        <v>14</v>
      </c>
      <c r="F153" t="s">
        <v>17</v>
      </c>
      <c r="G153">
        <v>1</v>
      </c>
      <c r="H153">
        <v>1</v>
      </c>
      <c r="I153">
        <v>1</v>
      </c>
    </row>
    <row r="154" spans="1:9" x14ac:dyDescent="0.25">
      <c r="A154">
        <v>266</v>
      </c>
      <c r="B154" s="26" t="s">
        <v>35</v>
      </c>
      <c r="C154">
        <v>44</v>
      </c>
      <c r="D154">
        <v>0</v>
      </c>
      <c r="E154">
        <v>1</v>
      </c>
      <c r="F154" t="s">
        <v>14</v>
      </c>
      <c r="G154" t="s">
        <v>14</v>
      </c>
      <c r="I154" t="s">
        <v>14</v>
      </c>
    </row>
    <row r="155" spans="1:9" x14ac:dyDescent="0.25">
      <c r="A155">
        <v>267</v>
      </c>
      <c r="B155" s="26" t="s">
        <v>35</v>
      </c>
      <c r="C155">
        <v>39</v>
      </c>
      <c r="D155">
        <v>0</v>
      </c>
      <c r="E155">
        <v>1</v>
      </c>
      <c r="F155" t="s">
        <v>14</v>
      </c>
      <c r="G155" t="s">
        <v>14</v>
      </c>
      <c r="I155" t="s">
        <v>14</v>
      </c>
    </row>
    <row r="156" spans="1:9" x14ac:dyDescent="0.25">
      <c r="A156">
        <v>268</v>
      </c>
      <c r="B156" s="26" t="s">
        <v>35</v>
      </c>
      <c r="C156">
        <v>24</v>
      </c>
      <c r="D156">
        <v>1</v>
      </c>
      <c r="E156" t="s">
        <v>14</v>
      </c>
      <c r="F156" t="s">
        <v>17</v>
      </c>
      <c r="G156">
        <v>1</v>
      </c>
      <c r="I156">
        <v>1</v>
      </c>
    </row>
    <row r="157" spans="1:9" x14ac:dyDescent="0.25">
      <c r="A157">
        <v>269</v>
      </c>
      <c r="B157" s="26" t="s">
        <v>34</v>
      </c>
      <c r="C157">
        <v>44</v>
      </c>
      <c r="D157">
        <v>0</v>
      </c>
      <c r="E157">
        <v>1</v>
      </c>
      <c r="F157" t="s">
        <v>14</v>
      </c>
      <c r="G157" t="s">
        <v>14</v>
      </c>
      <c r="I157" t="s">
        <v>14</v>
      </c>
    </row>
    <row r="158" spans="1:9" x14ac:dyDescent="0.25">
      <c r="A158">
        <v>270</v>
      </c>
      <c r="B158" s="26" t="s">
        <v>34</v>
      </c>
      <c r="C158">
        <v>30</v>
      </c>
      <c r="D158">
        <v>1</v>
      </c>
      <c r="E158" t="s">
        <v>14</v>
      </c>
      <c r="F158" t="s">
        <v>16</v>
      </c>
      <c r="G158">
        <v>1</v>
      </c>
      <c r="I158">
        <v>1</v>
      </c>
    </row>
    <row r="159" spans="1:9" x14ac:dyDescent="0.25">
      <c r="A159">
        <v>271</v>
      </c>
      <c r="B159" s="26" t="s">
        <v>35</v>
      </c>
      <c r="C159">
        <v>34</v>
      </c>
      <c r="D159">
        <v>0</v>
      </c>
      <c r="E159">
        <v>2</v>
      </c>
      <c r="F159" t="s">
        <v>14</v>
      </c>
      <c r="G159" t="s">
        <v>14</v>
      </c>
      <c r="I159" t="s">
        <v>14</v>
      </c>
    </row>
    <row r="160" spans="1:9" x14ac:dyDescent="0.25">
      <c r="A160">
        <v>272</v>
      </c>
      <c r="B160" s="26" t="s">
        <v>35</v>
      </c>
      <c r="C160">
        <v>55</v>
      </c>
      <c r="D160">
        <v>1</v>
      </c>
      <c r="E160" t="s">
        <v>14</v>
      </c>
      <c r="F160" t="s">
        <v>17</v>
      </c>
      <c r="G160">
        <v>1</v>
      </c>
      <c r="I160">
        <v>1</v>
      </c>
    </row>
    <row r="161" spans="1:9" x14ac:dyDescent="0.25">
      <c r="A161">
        <v>273</v>
      </c>
      <c r="B161" s="26" t="s">
        <v>34</v>
      </c>
      <c r="C161">
        <v>38</v>
      </c>
      <c r="D161">
        <v>1</v>
      </c>
      <c r="E161" t="s">
        <v>14</v>
      </c>
      <c r="F161" t="s">
        <v>16</v>
      </c>
      <c r="G161">
        <v>1</v>
      </c>
      <c r="I161">
        <v>1</v>
      </c>
    </row>
    <row r="162" spans="1:9" x14ac:dyDescent="0.25">
      <c r="A162">
        <v>278</v>
      </c>
      <c r="B162" s="26" t="s">
        <v>34</v>
      </c>
      <c r="C162">
        <v>43</v>
      </c>
      <c r="D162">
        <v>1</v>
      </c>
      <c r="E162" t="s">
        <v>14</v>
      </c>
      <c r="F162" t="s">
        <v>17</v>
      </c>
      <c r="G162">
        <v>1</v>
      </c>
      <c r="I162">
        <v>1</v>
      </c>
    </row>
    <row r="163" spans="1:9" x14ac:dyDescent="0.25">
      <c r="A163">
        <v>279</v>
      </c>
      <c r="B163" s="26" t="s">
        <v>35</v>
      </c>
      <c r="C163">
        <v>22</v>
      </c>
      <c r="D163">
        <v>0</v>
      </c>
      <c r="E163">
        <v>1</v>
      </c>
      <c r="F163" t="s">
        <v>14</v>
      </c>
      <c r="G163" t="s">
        <v>14</v>
      </c>
      <c r="I163" t="s">
        <v>14</v>
      </c>
    </row>
    <row r="164" spans="1:9" x14ac:dyDescent="0.25">
      <c r="A164">
        <v>280</v>
      </c>
      <c r="B164" s="26" t="s">
        <v>34</v>
      </c>
      <c r="C164">
        <v>36</v>
      </c>
      <c r="D164">
        <v>0</v>
      </c>
      <c r="E164">
        <v>2</v>
      </c>
      <c r="F164" t="s">
        <v>14</v>
      </c>
      <c r="G164" t="s">
        <v>14</v>
      </c>
      <c r="I164" t="s">
        <v>14</v>
      </c>
    </row>
    <row r="165" spans="1:9" x14ac:dyDescent="0.25">
      <c r="A165">
        <v>282</v>
      </c>
      <c r="B165" s="26" t="s">
        <v>34</v>
      </c>
      <c r="C165">
        <v>33</v>
      </c>
      <c r="D165">
        <v>1</v>
      </c>
      <c r="E165" t="s">
        <v>14</v>
      </c>
      <c r="F165" t="s">
        <v>16</v>
      </c>
      <c r="G165">
        <v>1</v>
      </c>
      <c r="I165">
        <v>1</v>
      </c>
    </row>
    <row r="166" spans="1:9" x14ac:dyDescent="0.25">
      <c r="A166">
        <v>283</v>
      </c>
      <c r="B166" s="26" t="s">
        <v>34</v>
      </c>
      <c r="C166">
        <v>30</v>
      </c>
      <c r="D166">
        <v>1</v>
      </c>
      <c r="E166" t="s">
        <v>14</v>
      </c>
      <c r="F166" t="s">
        <v>17</v>
      </c>
      <c r="G166">
        <v>1</v>
      </c>
      <c r="I166">
        <v>1</v>
      </c>
    </row>
    <row r="167" spans="1:9" x14ac:dyDescent="0.25">
      <c r="A167">
        <v>284</v>
      </c>
      <c r="B167" s="26" t="s">
        <v>34</v>
      </c>
      <c r="C167">
        <v>19</v>
      </c>
      <c r="D167">
        <v>1</v>
      </c>
      <c r="E167" t="s">
        <v>14</v>
      </c>
      <c r="F167" t="s">
        <v>17</v>
      </c>
      <c r="G167">
        <v>1</v>
      </c>
      <c r="I167">
        <v>1</v>
      </c>
    </row>
    <row r="168" spans="1:9" x14ac:dyDescent="0.25">
      <c r="A168">
        <v>285</v>
      </c>
      <c r="B168" s="26" t="s">
        <v>35</v>
      </c>
      <c r="C168">
        <v>53</v>
      </c>
      <c r="D168">
        <v>1</v>
      </c>
      <c r="E168" t="s">
        <v>14</v>
      </c>
      <c r="F168" t="s">
        <v>16</v>
      </c>
      <c r="G168">
        <v>1</v>
      </c>
      <c r="I168">
        <v>1</v>
      </c>
    </row>
    <row r="169" spans="1:9" x14ac:dyDescent="0.25">
      <c r="A169">
        <v>286</v>
      </c>
      <c r="B169" s="26" t="s">
        <v>34</v>
      </c>
      <c r="C169">
        <v>30</v>
      </c>
      <c r="D169">
        <v>0</v>
      </c>
      <c r="E169">
        <v>3</v>
      </c>
      <c r="F169" t="s">
        <v>14</v>
      </c>
      <c r="G169" t="s">
        <v>14</v>
      </c>
      <c r="I169" t="s">
        <v>14</v>
      </c>
    </row>
    <row r="170" spans="1:9" x14ac:dyDescent="0.25">
      <c r="A170">
        <v>287</v>
      </c>
      <c r="B170" s="26" t="s">
        <v>35</v>
      </c>
      <c r="C170">
        <v>36</v>
      </c>
      <c r="D170">
        <v>1</v>
      </c>
      <c r="E170" t="s">
        <v>14</v>
      </c>
      <c r="F170" t="s">
        <v>17</v>
      </c>
      <c r="G170">
        <v>1</v>
      </c>
      <c r="I170">
        <v>1</v>
      </c>
    </row>
    <row r="171" spans="1:9" x14ac:dyDescent="0.25">
      <c r="A171">
        <v>288</v>
      </c>
      <c r="B171" s="26" t="s">
        <v>35</v>
      </c>
      <c r="C171">
        <v>53</v>
      </c>
      <c r="D171">
        <v>1</v>
      </c>
      <c r="E171" t="s">
        <v>14</v>
      </c>
      <c r="F171" t="s">
        <v>16</v>
      </c>
      <c r="G171">
        <v>1</v>
      </c>
      <c r="I171">
        <v>1</v>
      </c>
    </row>
    <row r="172" spans="1:9" x14ac:dyDescent="0.25">
      <c r="A172">
        <v>289</v>
      </c>
      <c r="B172" s="26" t="s">
        <v>35</v>
      </c>
      <c r="C172">
        <v>23</v>
      </c>
      <c r="D172">
        <v>1</v>
      </c>
      <c r="E172" t="s">
        <v>14</v>
      </c>
      <c r="F172" t="s">
        <v>17</v>
      </c>
      <c r="G172">
        <v>1</v>
      </c>
      <c r="I172">
        <v>1</v>
      </c>
    </row>
    <row r="173" spans="1:9" x14ac:dyDescent="0.25">
      <c r="A173">
        <v>290</v>
      </c>
      <c r="B173" s="26" t="s">
        <v>35</v>
      </c>
      <c r="C173">
        <v>45</v>
      </c>
      <c r="D173">
        <v>0</v>
      </c>
      <c r="E173">
        <v>1</v>
      </c>
      <c r="F173" t="s">
        <v>14</v>
      </c>
      <c r="G173" t="s">
        <v>14</v>
      </c>
      <c r="I173" t="s">
        <v>14</v>
      </c>
    </row>
    <row r="174" spans="1:9" x14ac:dyDescent="0.25">
      <c r="A174">
        <v>291</v>
      </c>
      <c r="B174" s="26" t="s">
        <v>34</v>
      </c>
      <c r="C174">
        <v>37</v>
      </c>
      <c r="D174">
        <v>0</v>
      </c>
      <c r="E174">
        <v>3</v>
      </c>
      <c r="F174" t="s">
        <v>14</v>
      </c>
      <c r="G174" t="s">
        <v>14</v>
      </c>
      <c r="I174" t="s">
        <v>14</v>
      </c>
    </row>
    <row r="175" spans="1:9" x14ac:dyDescent="0.25">
      <c r="A175">
        <v>292</v>
      </c>
      <c r="B175" s="26" t="s">
        <v>34</v>
      </c>
      <c r="C175">
        <v>33</v>
      </c>
      <c r="D175">
        <v>0</v>
      </c>
      <c r="E175">
        <v>1</v>
      </c>
      <c r="F175" t="s">
        <v>14</v>
      </c>
      <c r="G175" t="s">
        <v>14</v>
      </c>
      <c r="I175" t="s">
        <v>14</v>
      </c>
    </row>
    <row r="176" spans="1:9" x14ac:dyDescent="0.25">
      <c r="A176">
        <v>293</v>
      </c>
      <c r="B176" s="26" t="s">
        <v>35</v>
      </c>
      <c r="C176">
        <v>53</v>
      </c>
      <c r="D176">
        <v>0</v>
      </c>
      <c r="E176">
        <v>2</v>
      </c>
      <c r="F176" t="s">
        <v>14</v>
      </c>
      <c r="G176" t="s">
        <v>14</v>
      </c>
      <c r="I176" t="s">
        <v>14</v>
      </c>
    </row>
    <row r="177" spans="1:9" x14ac:dyDescent="0.25">
      <c r="A177">
        <v>294</v>
      </c>
      <c r="B177" s="26" t="s">
        <v>35</v>
      </c>
      <c r="C177">
        <v>27</v>
      </c>
      <c r="D177">
        <v>1</v>
      </c>
      <c r="E177" t="s">
        <v>14</v>
      </c>
      <c r="F177" t="s">
        <v>16</v>
      </c>
      <c r="G177">
        <v>1</v>
      </c>
      <c r="I177">
        <v>1</v>
      </c>
    </row>
    <row r="178" spans="1:9" x14ac:dyDescent="0.25">
      <c r="A178">
        <v>295</v>
      </c>
      <c r="B178" s="26" t="s">
        <v>34</v>
      </c>
      <c r="C178">
        <v>45</v>
      </c>
      <c r="D178">
        <v>0</v>
      </c>
      <c r="E178">
        <v>3</v>
      </c>
      <c r="F178" t="s">
        <v>14</v>
      </c>
      <c r="G178" t="s">
        <v>14</v>
      </c>
      <c r="I178" t="s">
        <v>14</v>
      </c>
    </row>
    <row r="179" spans="1:9" x14ac:dyDescent="0.25">
      <c r="A179">
        <v>296</v>
      </c>
      <c r="B179" s="26" t="s">
        <v>35</v>
      </c>
      <c r="C179">
        <v>35</v>
      </c>
      <c r="D179">
        <v>1</v>
      </c>
      <c r="E179" t="s">
        <v>14</v>
      </c>
      <c r="F179" t="s">
        <v>17</v>
      </c>
      <c r="G179">
        <v>1</v>
      </c>
      <c r="I179">
        <v>1</v>
      </c>
    </row>
    <row r="180" spans="1:9" x14ac:dyDescent="0.25">
      <c r="A180">
        <v>297</v>
      </c>
      <c r="B180" s="26" t="s">
        <v>35</v>
      </c>
      <c r="C180">
        <v>32</v>
      </c>
      <c r="D180">
        <v>0</v>
      </c>
      <c r="E180">
        <v>1</v>
      </c>
      <c r="F180" t="s">
        <v>14</v>
      </c>
      <c r="G180" t="s">
        <v>14</v>
      </c>
      <c r="I180" t="s">
        <v>14</v>
      </c>
    </row>
  </sheetData>
  <sortState ref="A2:G198">
    <sortCondition ref="A2:A198"/>
  </sortState>
  <mergeCells count="2">
    <mergeCell ref="K4:N4"/>
    <mergeCell ref="K7:N7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L43"/>
  <sheetViews>
    <sheetView showGridLines="0" tabSelected="1" zoomScale="90" zoomScaleNormal="90" workbookViewId="0">
      <selection activeCell="E16" sqref="E16"/>
    </sheetView>
  </sheetViews>
  <sheetFormatPr defaultRowHeight="15" x14ac:dyDescent="0.25"/>
  <cols>
    <col min="1" max="1" width="18.85546875" customWidth="1"/>
    <col min="2" max="2" width="8.85546875" customWidth="1"/>
    <col min="3" max="3" width="27.28515625" bestFit="1" customWidth="1"/>
    <col min="6" max="6" width="11.5703125" customWidth="1"/>
    <col min="7" max="8" width="10.7109375" customWidth="1"/>
    <col min="10" max="10" width="27.28515625" bestFit="1" customWidth="1"/>
    <col min="13" max="13" width="14.140625" customWidth="1"/>
  </cols>
  <sheetData>
    <row r="2" spans="3:12" x14ac:dyDescent="0.25">
      <c r="G2" s="36" t="s">
        <v>0</v>
      </c>
      <c r="H2" s="38"/>
    </row>
    <row r="3" spans="3:12" x14ac:dyDescent="0.25">
      <c r="G3" s="39">
        <f>COUNT(Randomization_Info!A2:A180)</f>
        <v>179</v>
      </c>
      <c r="H3" s="40"/>
    </row>
    <row r="4" spans="3:12" x14ac:dyDescent="0.25">
      <c r="G4" s="3"/>
    </row>
    <row r="5" spans="3:12" x14ac:dyDescent="0.25">
      <c r="G5" s="4"/>
      <c r="J5" s="9" t="s">
        <v>5</v>
      </c>
      <c r="K5" s="16">
        <f>COUNTIF(Randomization_Info!D2:D180,0)</f>
        <v>90</v>
      </c>
    </row>
    <row r="6" spans="3:12" x14ac:dyDescent="0.25">
      <c r="G6" s="4"/>
      <c r="J6" s="6" t="s">
        <v>1</v>
      </c>
      <c r="K6" s="17">
        <f>COUNTIFS(Randomization_Info!$D$2:$D$180,0,Randomization_Info!$E$2:$E$180,1)</f>
        <v>38</v>
      </c>
    </row>
    <row r="7" spans="3:12" x14ac:dyDescent="0.25">
      <c r="G7" s="4"/>
      <c r="H7" s="5"/>
      <c r="I7" s="5"/>
      <c r="J7" s="6" t="s">
        <v>2</v>
      </c>
      <c r="K7" s="17">
        <f>COUNTIFS(Randomization_Info!$D$2:$D$180,0,Randomization_Info!$E$2:$E$180, 2)</f>
        <v>18</v>
      </c>
    </row>
    <row r="8" spans="3:12" x14ac:dyDescent="0.25">
      <c r="G8" s="4"/>
      <c r="J8" s="7" t="s">
        <v>3</v>
      </c>
      <c r="K8" s="32">
        <f>COUNTIFS(Randomization_Info!$D$2:$D$180,0,Randomization_Info!$E$2:$E$180,3) + COUNTIFS(Randomization_Info!$D$2:$D$180,0,Randomization_Info!$E$2:$E$180,4) + COUNTIFS(Randomization_Info!$D$2:$D$180,0,Randomization_Info!$E$2:$E$180,5)</f>
        <v>34</v>
      </c>
    </row>
    <row r="9" spans="3:12" x14ac:dyDescent="0.25">
      <c r="G9" s="4"/>
    </row>
    <row r="10" spans="3:12" x14ac:dyDescent="0.25">
      <c r="G10" s="4"/>
    </row>
    <row r="11" spans="3:12" x14ac:dyDescent="0.25">
      <c r="G11" s="4"/>
    </row>
    <row r="12" spans="3:12" x14ac:dyDescent="0.25">
      <c r="G12" s="36" t="s">
        <v>4</v>
      </c>
      <c r="H12" s="38"/>
    </row>
    <row r="13" spans="3:12" x14ac:dyDescent="0.25">
      <c r="G13" s="41">
        <f>COUNTIF(Randomization_Info!D2:D180, 1)</f>
        <v>89</v>
      </c>
      <c r="H13" s="42"/>
    </row>
    <row r="15" spans="3:12" x14ac:dyDescent="0.25">
      <c r="C15" s="36" t="s">
        <v>6</v>
      </c>
      <c r="D15" s="37"/>
      <c r="E15" s="38"/>
      <c r="J15" s="36" t="s">
        <v>7</v>
      </c>
      <c r="K15" s="37"/>
      <c r="L15" s="38"/>
    </row>
    <row r="16" spans="3:12" x14ac:dyDescent="0.25">
      <c r="C16" s="43" t="s">
        <v>30</v>
      </c>
      <c r="D16" s="44"/>
      <c r="E16" s="20">
        <f>COUNTIFS(Randomization_Info!$D$2:$D$180,1,Randomization_Info!$F$2:$F$180,"A")</f>
        <v>44</v>
      </c>
      <c r="J16" s="43" t="s">
        <v>30</v>
      </c>
      <c r="K16" s="45"/>
      <c r="L16" s="29">
        <f>COUNTIFS(Randomization_Info!$D$2:$D$180,1,Randomization_Info!$F$2:$F$180,"B")</f>
        <v>45</v>
      </c>
    </row>
    <row r="17" spans="3:12" x14ac:dyDescent="0.25">
      <c r="C17" s="6"/>
      <c r="D17" s="11" t="s">
        <v>8</v>
      </c>
      <c r="E17" s="20">
        <f>COUNTIFS(Randomization_Info!$D$2:$D$180,1,Randomization_Info!$F$2:$F$180,"A", Randomization_Info!$G$2:$G$180,1)</f>
        <v>43</v>
      </c>
      <c r="J17" s="6"/>
      <c r="K17" s="11" t="s">
        <v>8</v>
      </c>
      <c r="L17" s="29">
        <f>COUNTIFS(Randomization_Info!$D$2:$D$180,1,Randomization_Info!$F$2:$F$180,"B", Randomization_Info!$G$2:$G$180,1)</f>
        <v>43</v>
      </c>
    </row>
    <row r="18" spans="3:12" x14ac:dyDescent="0.25">
      <c r="C18" s="8"/>
      <c r="D18" s="12" t="s">
        <v>9</v>
      </c>
      <c r="E18" s="27">
        <f>COUNTIFS(Randomization_Info!$D$2:$D$180,1,Randomization_Info!$F$2:$F$180,"A", Randomization_Info!$G$2:$G$180, 0)</f>
        <v>1</v>
      </c>
      <c r="J18" s="8"/>
      <c r="K18" s="28" t="s">
        <v>9</v>
      </c>
      <c r="L18" s="29">
        <f>COUNTIFS(Randomization_Info!$D$2:$D$180,1,Randomization_Info!$F$2:$F$180,"B", Randomization_Info!$G$2:$G$180,0)</f>
        <v>2</v>
      </c>
    </row>
    <row r="24" spans="3:12" ht="14.45" customHeight="1" x14ac:dyDescent="0.25">
      <c r="C24" s="36" t="s">
        <v>21</v>
      </c>
      <c r="D24" s="37"/>
      <c r="E24" s="38"/>
      <c r="J24" s="36" t="s">
        <v>21</v>
      </c>
      <c r="K24" s="37"/>
      <c r="L24" s="38"/>
    </row>
    <row r="25" spans="3:12" x14ac:dyDescent="0.25">
      <c r="C25" s="10"/>
      <c r="D25" s="13" t="s">
        <v>22</v>
      </c>
      <c r="E25" s="30">
        <f>COUNTIFS(Randomization_Info!$H$2:$H$180,1,Randomization_Info!$D$2:$D$180,1,Randomization_Info!$F$2:$F$180,"A",Randomization_Info!$G$2:$G$180,1)</f>
        <v>2</v>
      </c>
      <c r="J25" s="10"/>
      <c r="K25" s="13" t="s">
        <v>22</v>
      </c>
      <c r="L25" s="19">
        <f>COUNTIFS(Randomization_Info!$H$2:$H$180,1,Randomization_Info!$D$2:$D$180,1,Randomization_Info!$F$2:$F$180,"B",Randomization_Info!$G$2:$G$180,1)</f>
        <v>1</v>
      </c>
    </row>
    <row r="26" spans="3:12" x14ac:dyDescent="0.25">
      <c r="C26" s="8"/>
      <c r="D26" s="12" t="s">
        <v>23</v>
      </c>
      <c r="E26" s="31">
        <f>COUNTIFS(Randomization_Info!$H$2:$H$180,2,Randomization_Info!$D$2:$D$180,1,Randomization_Info!$F$2:$F$180,"A",Randomization_Info!$G$2:$G$180,1)</f>
        <v>1</v>
      </c>
      <c r="J26" s="8"/>
      <c r="K26" s="12" t="s">
        <v>23</v>
      </c>
      <c r="L26" s="18">
        <f>COUNTIFS(Randomization_Info!$H$2:$H$180,2,Randomization_Info!$D$2:$D$180,1,Randomization_Info!$F$2:$F$180,"B",Randomization_Info!$G$2:$G$180,1)</f>
        <v>1</v>
      </c>
    </row>
    <row r="32" spans="3:12" x14ac:dyDescent="0.25">
      <c r="C32" s="36" t="s">
        <v>25</v>
      </c>
      <c r="D32" s="37"/>
      <c r="E32" s="38"/>
      <c r="J32" s="36" t="s">
        <v>25</v>
      </c>
      <c r="K32" s="37"/>
      <c r="L32" s="38"/>
    </row>
    <row r="33" spans="3:12" x14ac:dyDescent="0.25">
      <c r="C33" s="10"/>
      <c r="D33" s="13" t="s">
        <v>20</v>
      </c>
      <c r="E33" s="19">
        <f>COUNTIFS(Randomization_Info!$I$2:$I$180,1,Randomization_Info!$D$2:$D$180,1,Randomization_Info!$F$2:$F$180,"A")</f>
        <v>44</v>
      </c>
      <c r="J33" s="10"/>
      <c r="K33" s="13" t="s">
        <v>20</v>
      </c>
      <c r="L33" s="19">
        <f>COUNTIFS(Randomization_Info!$I$2:$I$180,1,Randomization_Info!$D$2:$D$180,1,Randomization_Info!$F$2:$F$180,"B")</f>
        <v>44</v>
      </c>
    </row>
    <row r="34" spans="3:12" x14ac:dyDescent="0.25">
      <c r="C34" s="8"/>
      <c r="D34" s="12" t="s">
        <v>24</v>
      </c>
      <c r="E34" s="19">
        <f>COUNTIFS(Randomization_Info!$I$2:$I$180,0,Randomization_Info!$D$2:$D$180,1,Randomization_Info!$F$2:$F$180,"A")</f>
        <v>0</v>
      </c>
      <c r="J34" s="8"/>
      <c r="K34" s="12" t="s">
        <v>24</v>
      </c>
      <c r="L34" s="18">
        <f>COUNTIFS(Randomization_Info!$I$2:$I$180,0,Randomization_Info!$D$2:$D$180,1,Randomization_Info!$F$2:$F$180,"B")</f>
        <v>1</v>
      </c>
    </row>
    <row r="39" spans="3:12" x14ac:dyDescent="0.25">
      <c r="C39" s="36" t="s">
        <v>29</v>
      </c>
      <c r="D39" s="37"/>
      <c r="E39" s="38"/>
      <c r="J39" s="36" t="s">
        <v>29</v>
      </c>
      <c r="K39" s="37"/>
      <c r="L39" s="38"/>
    </row>
    <row r="40" spans="3:12" ht="60" customHeight="1" x14ac:dyDescent="0.25">
      <c r="C40" s="1"/>
      <c r="D40" s="46" t="s">
        <v>28</v>
      </c>
      <c r="E40" s="48" t="s">
        <v>31</v>
      </c>
      <c r="J40" s="1"/>
      <c r="K40" s="46" t="s">
        <v>28</v>
      </c>
      <c r="L40" s="48" t="s">
        <v>31</v>
      </c>
    </row>
    <row r="41" spans="3:12" x14ac:dyDescent="0.25">
      <c r="C41" s="2"/>
      <c r="D41" s="47"/>
      <c r="E41" s="49"/>
      <c r="J41" s="2"/>
      <c r="K41" s="47"/>
      <c r="L41" s="49"/>
    </row>
    <row r="42" spans="3:12" x14ac:dyDescent="0.25">
      <c r="C42" s="14" t="s">
        <v>26</v>
      </c>
      <c r="D42" s="21">
        <f>COUNTIFS(Randomization_Info!$B$2:$B$180,"M",Randomization_Info!$D$2:$D$180,1,Randomization_Info!$F$2:$F$180,"A",Randomization_Info!$I$2:$I$180,1)</f>
        <v>23</v>
      </c>
      <c r="E42" s="21">
        <f>AVERAGEIFS(Randomization_Info!$C$2:$C$180,Randomization_Info!$B$2:$B$180,"M",Randomization_Info!$D$2:$D$180,1,Randomization_Info!$F$2:$F$180,"A",Randomization_Info!$I$2:$I$180,1)</f>
        <v>35.304347826086953</v>
      </c>
      <c r="J42" s="14" t="s">
        <v>26</v>
      </c>
      <c r="K42" s="21">
        <f>COUNTIFS(Randomization_Info!$B$2:$B$180,"M",Randomization_Info!$D$2:$D$180,1,Randomization_Info!$F$2:$F$180,"B",Randomization_Info!$I$2:$I$180,1)</f>
        <v>22</v>
      </c>
      <c r="L42" s="25">
        <f>AVERAGEIFS(Randomization_Info!$C$2:$C$180,Randomization_Info!$B$2:$B$180,"M",Randomization_Info!$D$2:$D$180,1,Randomization_Info!$F$2:$F$180,"B",Randomization_Info!$I$2:$I$180,1)</f>
        <v>37.363636363636367</v>
      </c>
    </row>
    <row r="43" spans="3:12" x14ac:dyDescent="0.25">
      <c r="C43" s="15" t="s">
        <v>27</v>
      </c>
      <c r="D43" s="21">
        <f>COUNTIFS(Randomization_Info!$B$2:$B$180,"F",Randomization_Info!$D$2:$D$180,1,Randomization_Info!$F$2:$F$180,"A",Randomization_Info!$I$2:$I$180,1)</f>
        <v>21</v>
      </c>
      <c r="E43" s="21">
        <f>AVERAGEIFS(Randomization_Info!$C$2:$C$180,Randomization_Info!$B$2:$B$180,"F",Randomization_Info!$D$2:$D$180,1,Randomization_Info!$F$2:$F$180,"A",Randomization_Info!$I$2:$I$180,1)</f>
        <v>39.19047619047619</v>
      </c>
      <c r="J43" s="15" t="s">
        <v>27</v>
      </c>
      <c r="K43" s="21">
        <f>COUNTIFS(Randomization_Info!$B$2:$B$180,"F",Randomization_Info!$D$2:$D$180,1,Randomization_Info!$F$2:$F$180,"B",Randomization_Info!$I$2:$I$180,1)</f>
        <v>22</v>
      </c>
      <c r="L43" s="25">
        <f>AVERAGEIFS(Randomization_Info!$C$2:$C$180,Randomization_Info!$B$2:$B$180,"F",Randomization_Info!$D$2:$D$180,1,Randomization_Info!$F$2:$F$180,"B",Randomization_Info!$I$2:$I$180,1)</f>
        <v>39.363636363636367</v>
      </c>
    </row>
  </sheetData>
  <mergeCells count="18">
    <mergeCell ref="K40:K41"/>
    <mergeCell ref="D40:D41"/>
    <mergeCell ref="J24:L24"/>
    <mergeCell ref="C32:E32"/>
    <mergeCell ref="J32:L32"/>
    <mergeCell ref="C39:E39"/>
    <mergeCell ref="J39:L39"/>
    <mergeCell ref="E40:E41"/>
    <mergeCell ref="L40:L41"/>
    <mergeCell ref="J15:L15"/>
    <mergeCell ref="C24:E24"/>
    <mergeCell ref="G2:H2"/>
    <mergeCell ref="G3:H3"/>
    <mergeCell ref="G12:H12"/>
    <mergeCell ref="C15:E15"/>
    <mergeCell ref="G13:H13"/>
    <mergeCell ref="C16:D16"/>
    <mergeCell ref="J16:K1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Randomization_Info</vt:lpstr>
      <vt:lpstr>CONSORT</vt:lpstr>
    </vt:vector>
  </TitlesOfParts>
  <Company>Columbia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Debby</dc:creator>
  <cp:lastModifiedBy>CUMC IT</cp:lastModifiedBy>
  <dcterms:created xsi:type="dcterms:W3CDTF">2014-09-15T05:31:17Z</dcterms:created>
  <dcterms:modified xsi:type="dcterms:W3CDTF">2018-05-27T17:44:00Z</dcterms:modified>
</cp:coreProperties>
</file>